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E5C5894C-AD99-4D85-941A-4EB2F04B4CD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una" sheetId="2" r:id="rId1"/>
    <sheet name="Zile_libere+CO" sheetId="3" r:id="rId2"/>
    <sheet name="Pontaj" sheetId="1" r:id="rId3"/>
  </sheets>
  <definedNames>
    <definedName name="anul">Luna!$B$1</definedName>
    <definedName name="duminică1">Luna!$B$6</definedName>
    <definedName name="duminică2">Luna!$C$6</definedName>
    <definedName name="duminică3">Luna!$D$6</definedName>
    <definedName name="duminică4">Luna!$E$6</definedName>
    <definedName name="duminică5">Luna!$F$6</definedName>
    <definedName name="duminică6">Luna!$G$6</definedName>
    <definedName name="luna">Luna!$B$2</definedName>
    <definedName name="luni2">Luna!$B$7</definedName>
    <definedName name="luni3">Luna!$C$7</definedName>
    <definedName name="luni4">Luna!$D$7</definedName>
    <definedName name="luni5">Luna!$E$7</definedName>
    <definedName name="luni6">Luna!$F$7</definedName>
    <definedName name="primazi">Luna!$B$3</definedName>
    <definedName name="_xlnm.Print_Area" localSheetId="0">Luna!$G$15</definedName>
    <definedName name="_xlnm.Print_Titles" localSheetId="2">Pontaj!$8:$9</definedName>
    <definedName name="săptămâna1">Luna!$B$10</definedName>
    <definedName name="săptămâna2">Luna!$B$11</definedName>
    <definedName name="săptămâna3">Luna!$B$12</definedName>
    <definedName name="săptămâna4">Luna!$B$13</definedName>
    <definedName name="săptămâna5">Luna!$B$14</definedName>
    <definedName name="săptămâna6">Luna!$B$15</definedName>
    <definedName name="ultimazi">Luna!$G$7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3" l="1"/>
  <c r="V15" i="1" l="1"/>
  <c r="V14" i="1"/>
  <c r="V13" i="1"/>
  <c r="V12" i="1"/>
  <c r="V11" i="1"/>
  <c r="X16" i="1" l="1"/>
  <c r="W16" i="1"/>
  <c r="V10" i="1"/>
  <c r="V16" i="1" s="1"/>
  <c r="B3" i="2"/>
  <c r="G7" i="2" s="1"/>
  <c r="B6" i="2" l="1"/>
  <c r="B10" i="2" s="1"/>
  <c r="B10" i="1" s="1"/>
  <c r="B5" i="1"/>
  <c r="B8" i="1"/>
  <c r="B7" i="2" l="1"/>
  <c r="C6" i="2"/>
  <c r="B11" i="2" l="1"/>
  <c r="B11" i="1" s="1"/>
  <c r="C7" i="2"/>
  <c r="D6" i="2"/>
  <c r="B12" i="2" l="1"/>
  <c r="B12" i="1" s="1"/>
  <c r="D7" i="2"/>
  <c r="E6" i="2"/>
  <c r="B13" i="2" l="1"/>
  <c r="B13" i="1" s="1"/>
  <c r="F6" i="2"/>
  <c r="E7" i="2"/>
  <c r="F7" i="2" l="1"/>
  <c r="G6" i="2"/>
  <c r="B14" i="2"/>
  <c r="B14" i="1" s="1"/>
  <c r="B15" i="2" l="1"/>
  <c r="B15" i="1" s="1"/>
</calcChain>
</file>

<file path=xl/sharedStrings.xml><?xml version="1.0" encoding="utf-8"?>
<sst xmlns="http://schemas.openxmlformats.org/spreadsheetml/2006/main" count="95" uniqueCount="86">
  <si>
    <t>An</t>
  </si>
  <si>
    <t>Luna</t>
  </si>
  <si>
    <t>Prima zi din lună</t>
  </si>
  <si>
    <t>DL 1</t>
  </si>
  <si>
    <t>DL 2</t>
  </si>
  <si>
    <t>DL 3</t>
  </si>
  <si>
    <t>DL 4</t>
  </si>
  <si>
    <t>DL 5</t>
  </si>
  <si>
    <t>DL 6</t>
  </si>
  <si>
    <t>Duminică</t>
  </si>
  <si>
    <t>Luni</t>
  </si>
  <si>
    <t>Zile</t>
  </si>
  <si>
    <t>Săptămâna 1</t>
  </si>
  <si>
    <t>Săptămâna 2</t>
  </si>
  <si>
    <t>Săptămâna 3</t>
  </si>
  <si>
    <t>Săptămâna 4</t>
  </si>
  <si>
    <t>Săptămâna 5</t>
  </si>
  <si>
    <t>Săptămâna 6</t>
  </si>
  <si>
    <t>miercuri</t>
  </si>
  <si>
    <t>1 ianuarie: Anul Nou</t>
  </si>
  <si>
    <t>joi</t>
  </si>
  <si>
    <t>2 ianuarie: A doua zi după Anul Nou</t>
  </si>
  <si>
    <t>luni</t>
  </si>
  <si>
    <t>6 ianuarie: Botezul Domnului - Boboteaza</t>
  </si>
  <si>
    <t>marti</t>
  </si>
  <si>
    <t>7 ianuarie: Soborul Sfântului Proroc Ioan Botezătorul</t>
  </si>
  <si>
    <t>vineri</t>
  </si>
  <si>
    <t>24 ianuarie: Ziua Unirii Principatelor României</t>
  </si>
  <si>
    <t>duminica</t>
  </si>
  <si>
    <t>1 mai: Ziua Muncii</t>
  </si>
  <si>
    <t>1 iunie: Ziua Copilului</t>
  </si>
  <si>
    <t>15 august: Adormirea Maicii Domnului</t>
  </si>
  <si>
    <t>30 noiembrie: Sfântul Andrei</t>
  </si>
  <si>
    <t>1 decembrie: Ziua Marii Uniri</t>
  </si>
  <si>
    <t>25 decembrie: Crăciunul</t>
  </si>
  <si>
    <t>26 decembrie: A doua zi de Crăciunul</t>
  </si>
  <si>
    <t>Universitatea Politehnica Timișoara</t>
  </si>
  <si>
    <t>Departamentul Calculatoare și Tehnologia Informației</t>
  </si>
  <si>
    <t>PONTAJUL CADRELOR DIDACTICE</t>
  </si>
  <si>
    <t>Nr. Crt</t>
  </si>
  <si>
    <t>Zile / săptămâni</t>
  </si>
  <si>
    <t>Nume și prenume
 cadru didactic</t>
  </si>
  <si>
    <t>Grad didactic</t>
  </si>
  <si>
    <t>TOTAL ore</t>
  </si>
  <si>
    <t>TOTAL</t>
  </si>
  <si>
    <t>Observații:</t>
  </si>
  <si>
    <t>1.</t>
  </si>
  <si>
    <t>2.</t>
  </si>
  <si>
    <r>
      <t xml:space="preserve">ore </t>
    </r>
    <r>
      <rPr>
        <b/>
        <sz val="9"/>
        <rFont val="Arial"/>
        <family val="2"/>
      </rPr>
      <t>Curs</t>
    </r>
  </si>
  <si>
    <r>
      <t xml:space="preserve">ore </t>
    </r>
    <r>
      <rPr>
        <b/>
        <sz val="9"/>
        <rFont val="Arial"/>
        <family val="2"/>
      </rPr>
      <t>Seminar</t>
    </r>
  </si>
  <si>
    <r>
      <t xml:space="preserve">ore </t>
    </r>
    <r>
      <rPr>
        <b/>
        <sz val="9"/>
        <rFont val="Arial"/>
        <family val="2"/>
      </rPr>
      <t>Lucrări</t>
    </r>
  </si>
  <si>
    <r>
      <t xml:space="preserve">ore </t>
    </r>
    <r>
      <rPr>
        <b/>
        <sz val="9"/>
        <rFont val="Arial"/>
        <family val="2"/>
      </rPr>
      <t>Proiecte</t>
    </r>
  </si>
  <si>
    <r>
      <t>ore Îndrumare D</t>
    </r>
    <r>
      <rPr>
        <b/>
        <sz val="9"/>
        <rFont val="Arial"/>
        <family val="2"/>
      </rPr>
      <t>octoranzi</t>
    </r>
  </si>
  <si>
    <r>
      <t xml:space="preserve">ore </t>
    </r>
    <r>
      <rPr>
        <b/>
        <sz val="9"/>
        <rFont val="Arial"/>
        <family val="2"/>
      </rPr>
      <t>Consultații</t>
    </r>
  </si>
  <si>
    <r>
      <t xml:space="preserve">ore </t>
    </r>
    <r>
      <rPr>
        <b/>
        <sz val="9"/>
        <rFont val="Arial"/>
        <family val="2"/>
      </rPr>
      <t>Evaluare</t>
    </r>
  </si>
  <si>
    <r>
      <t xml:space="preserve">ore </t>
    </r>
    <r>
      <rPr>
        <b/>
        <sz val="9"/>
        <rFont val="Arial"/>
        <family val="2"/>
      </rPr>
      <t xml:space="preserve">Pregătire </t>
    </r>
    <r>
      <rPr>
        <sz val="9"/>
        <rFont val="Arial"/>
        <family val="2"/>
      </rPr>
      <t xml:space="preserve">pentru activitatea </t>
    </r>
    <r>
      <rPr>
        <b/>
        <sz val="9"/>
        <rFont val="Arial"/>
        <family val="2"/>
      </rPr>
      <t>didactică</t>
    </r>
  </si>
  <si>
    <r>
      <t xml:space="preserve">ore </t>
    </r>
    <r>
      <rPr>
        <b/>
        <sz val="9"/>
        <rFont val="Arial"/>
        <family val="2"/>
      </rPr>
      <t xml:space="preserve">Documentare </t>
    </r>
    <r>
      <rPr>
        <sz val="9"/>
        <rFont val="Arial"/>
        <family val="2"/>
      </rPr>
      <t xml:space="preserve">pentru </t>
    </r>
    <r>
      <rPr>
        <b/>
        <sz val="9"/>
        <rFont val="Arial"/>
        <family val="2"/>
      </rPr>
      <t>cercetare</t>
    </r>
  </si>
  <si>
    <r>
      <t xml:space="preserve">ore </t>
    </r>
    <r>
      <rPr>
        <b/>
        <sz val="9"/>
        <rFont val="Arial"/>
        <family val="2"/>
      </rPr>
      <t>Documentare</t>
    </r>
    <r>
      <rPr>
        <sz val="9"/>
        <rFont val="Arial"/>
        <family val="2"/>
      </rPr>
      <t xml:space="preserve"> oportunități de </t>
    </r>
    <r>
      <rPr>
        <b/>
        <sz val="9"/>
        <rFont val="Arial"/>
        <family val="2"/>
      </rPr>
      <t>finanțare</t>
    </r>
    <r>
      <rPr>
        <sz val="9"/>
        <rFont val="Arial"/>
        <family val="2"/>
      </rPr>
      <t xml:space="preserve"> proiecte</t>
    </r>
  </si>
  <si>
    <r>
      <t xml:space="preserve">ore </t>
    </r>
    <r>
      <rPr>
        <b/>
        <sz val="9"/>
        <rFont val="Arial"/>
        <family val="2"/>
      </rPr>
      <t>Elaborare</t>
    </r>
    <r>
      <rPr>
        <sz val="9"/>
        <rFont val="Arial"/>
        <family val="2"/>
      </rPr>
      <t xml:space="preserve"> proiecte de </t>
    </r>
    <r>
      <rPr>
        <b/>
        <sz val="9"/>
        <rFont val="Arial"/>
        <family val="2"/>
      </rPr>
      <t>cercetare</t>
    </r>
  </si>
  <si>
    <r>
      <t xml:space="preserve">ore </t>
    </r>
    <r>
      <rPr>
        <b/>
        <sz val="9"/>
        <rFont val="Arial"/>
        <family val="2"/>
      </rPr>
      <t xml:space="preserve">Execuție </t>
    </r>
    <r>
      <rPr>
        <sz val="9"/>
        <rFont val="Arial"/>
        <family val="2"/>
      </rPr>
      <t xml:space="preserve">proiecte de </t>
    </r>
    <r>
      <rPr>
        <b/>
        <sz val="9"/>
        <rFont val="Arial"/>
        <family val="2"/>
      </rPr>
      <t>cercetare</t>
    </r>
  </si>
  <si>
    <r>
      <t xml:space="preserve">ore </t>
    </r>
    <r>
      <rPr>
        <b/>
        <sz val="9"/>
        <rFont val="Arial"/>
        <family val="2"/>
      </rPr>
      <t>Implicare</t>
    </r>
    <r>
      <rPr>
        <sz val="9"/>
        <rFont val="Arial"/>
        <family val="2"/>
      </rPr>
      <t xml:space="preserve"> neremunerată în problematica societății</t>
    </r>
  </si>
  <si>
    <r>
      <t xml:space="preserve">ore Gestiune </t>
    </r>
    <r>
      <rPr>
        <b/>
        <sz val="9"/>
        <rFont val="Arial"/>
        <family val="2"/>
      </rPr>
      <t xml:space="preserve">cooperări </t>
    </r>
    <r>
      <rPr>
        <sz val="9"/>
        <rFont val="Arial"/>
        <family val="2"/>
      </rPr>
      <t>internaționale</t>
    </r>
  </si>
  <si>
    <r>
      <t xml:space="preserve">Zile </t>
    </r>
    <r>
      <rPr>
        <b/>
        <sz val="9"/>
        <rFont val="Arial"/>
        <family val="2"/>
      </rPr>
      <t>Delegație</t>
    </r>
  </si>
  <si>
    <r>
      <t xml:space="preserve">ore </t>
    </r>
    <r>
      <rPr>
        <b/>
        <sz val="9"/>
        <rFont val="Arial"/>
        <family val="2"/>
      </rPr>
      <t>Alte</t>
    </r>
    <r>
      <rPr>
        <sz val="9"/>
        <rFont val="Arial"/>
        <family val="2"/>
      </rPr>
      <t xml:space="preserve"> activități</t>
    </r>
  </si>
  <si>
    <r>
      <rPr>
        <b/>
        <sz val="9"/>
        <rFont val="Arial"/>
        <family val="2"/>
      </rPr>
      <t>Observații</t>
    </r>
    <r>
      <rPr>
        <sz val="9"/>
        <rFont val="Arial"/>
        <family val="2"/>
      </rPr>
      <t xml:space="preserve">
( concediu medical, concediu de odihnă, plecați cu bursă, absențe nemotivate, etc. )</t>
    </r>
  </si>
  <si>
    <t>3.</t>
  </si>
  <si>
    <t>10 aprilie: Vinerea Mare</t>
  </si>
  <si>
    <t>12 aprilie: Paște ortodox</t>
  </si>
  <si>
    <t>13 aprilie: A doua zi de Paște ortodox</t>
  </si>
  <si>
    <t>Zile Libere 2026 în România:</t>
  </si>
  <si>
    <t>sâmbătă</t>
  </si>
  <si>
    <t>marți</t>
  </si>
  <si>
    <t>31 mai: Rusalii RO</t>
  </si>
  <si>
    <t>1 iunie: A doua zi de Rusalii RO</t>
  </si>
  <si>
    <t>Concedii Cd 2026</t>
  </si>
  <si>
    <t>22.12.2025 - 11.01.2026</t>
  </si>
  <si>
    <t>23.02.2026 - 1.03.2026</t>
  </si>
  <si>
    <t>06.04.2026 - 13.04.2026</t>
  </si>
  <si>
    <t>20.07.2026 - 30.08.2026</t>
  </si>
  <si>
    <t>Nr. Zile</t>
  </si>
  <si>
    <r>
      <t>Cine a fost in</t>
    </r>
    <r>
      <rPr>
        <b/>
        <sz val="9"/>
        <color rgb="FF7030A0"/>
        <rFont val="Arial"/>
        <family val="2"/>
      </rPr>
      <t xml:space="preserve"> </t>
    </r>
    <r>
      <rPr>
        <b/>
        <sz val="11"/>
        <color rgb="FF7030A0"/>
        <rFont val="Arial"/>
        <family val="2"/>
      </rPr>
      <t>DELEGATIE</t>
    </r>
    <r>
      <rPr>
        <b/>
        <sz val="9"/>
        <color rgb="FF7030A0"/>
        <rFont val="Arial"/>
        <family val="2"/>
      </rPr>
      <t xml:space="preserve"> </t>
    </r>
    <r>
      <rPr>
        <b/>
        <sz val="9"/>
        <color rgb="FFFF0000"/>
        <rFont val="Arial"/>
        <family val="2"/>
      </rPr>
      <t xml:space="preserve">sa completeze (Coloana </t>
    </r>
    <r>
      <rPr>
        <b/>
        <sz val="9"/>
        <color rgb="FF7030A0"/>
        <rFont val="Arial"/>
        <family val="2"/>
      </rPr>
      <t>S</t>
    </r>
    <r>
      <rPr>
        <b/>
        <sz val="9"/>
        <color rgb="FFFF0000"/>
        <rFont val="Arial"/>
        <family val="2"/>
      </rPr>
      <t xml:space="preserve"> s-au </t>
    </r>
    <r>
      <rPr>
        <b/>
        <sz val="9"/>
        <color rgb="FF00B050"/>
        <rFont val="Arial"/>
        <family val="2"/>
      </rPr>
      <t>18</t>
    </r>
    <r>
      <rPr>
        <b/>
        <sz val="9"/>
        <color rgb="FFFF0000"/>
        <rFont val="Arial"/>
        <family val="2"/>
      </rPr>
      <t>) si sa specifice ce tip de delegete este (</t>
    </r>
    <r>
      <rPr>
        <b/>
        <sz val="11"/>
        <color rgb="FF7030A0"/>
        <rFont val="Arial"/>
        <family val="2"/>
      </rPr>
      <t>interna/externa</t>
    </r>
    <r>
      <rPr>
        <b/>
        <sz val="9"/>
        <color rgb="FFFF0000"/>
        <rFont val="Arial"/>
        <family val="2"/>
      </rPr>
      <t>)</t>
    </r>
  </si>
  <si>
    <t>SL</t>
  </si>
  <si>
    <t>4.</t>
  </si>
  <si>
    <t>Sarbatoare legala 1.05.2026 - Ziua Muncii</t>
  </si>
  <si>
    <t>Ancusa Versavia</t>
  </si>
  <si>
    <t>Sl.dr.ing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</si>
</sst>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8]mmmm\ yyyy;@"/>
    <numFmt numFmtId="165" formatCode="[$-436]dd\ mmmm\ yyyy;@"/>
  </numFmts>
  <fonts count="30">
    <font>
      <sz val="10"/>
      <name val="Arial"/>
      <charset val="134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color rgb="FF333333"/>
      <name val="Trebuchet MS"/>
      <family val="2"/>
    </font>
    <font>
      <b/>
      <sz val="10"/>
      <name val="Arial"/>
      <family val="2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u/>
      <sz val="10"/>
      <color theme="10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b/>
      <i/>
      <sz val="9"/>
      <name val="Arial"/>
      <family val="2"/>
    </font>
    <font>
      <i/>
      <sz val="9"/>
      <color theme="0"/>
      <name val="Arial"/>
      <family val="2"/>
    </font>
    <font>
      <b/>
      <sz val="9"/>
      <color rgb="FFFF0000"/>
      <name val="Arial"/>
      <family val="2"/>
    </font>
    <font>
      <b/>
      <sz val="9"/>
      <color theme="0"/>
      <name val="Arial"/>
      <family val="2"/>
    </font>
    <font>
      <b/>
      <sz val="9"/>
      <color rgb="FFFF3300"/>
      <name val="Arial"/>
      <family val="2"/>
    </font>
    <font>
      <sz val="9"/>
      <color theme="0"/>
      <name val="Arial"/>
      <family val="2"/>
    </font>
    <font>
      <b/>
      <sz val="9"/>
      <color indexed="10"/>
      <name val="Arial"/>
      <family val="2"/>
    </font>
    <font>
      <b/>
      <sz val="9"/>
      <color rgb="FF7030A0"/>
      <name val="Arial"/>
      <family val="2"/>
    </font>
    <font>
      <b/>
      <sz val="9"/>
      <color rgb="FF00B050"/>
      <name val="Arial"/>
      <family val="2"/>
    </font>
    <font>
      <sz val="14"/>
      <color rgb="FF7030A0"/>
      <name val="Trebuchet MS"/>
      <family val="2"/>
    </font>
    <font>
      <sz val="12"/>
      <name val="Arial"/>
      <family val="2"/>
    </font>
    <font>
      <sz val="10"/>
      <color rgb="FFFF0000"/>
      <name val="Arial"/>
      <family val="2"/>
    </font>
    <font>
      <sz val="14"/>
      <name val="Arial"/>
      <family val="2"/>
    </font>
    <font>
      <b/>
      <sz val="24"/>
      <color theme="0"/>
      <name val="Arial"/>
      <family val="2"/>
    </font>
    <font>
      <b/>
      <sz val="14"/>
      <name val="Arial"/>
      <family val="2"/>
    </font>
    <font>
      <b/>
      <sz val="14"/>
      <color rgb="FF333333"/>
      <name val="Trebuchet MS"/>
      <family val="2"/>
    </font>
    <font>
      <b/>
      <sz val="11"/>
      <color rgb="FF7030A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8" fillId="0" borderId="0" applyNumberFormat="0" applyFill="0" applyBorder="0" applyAlignment="0" applyProtection="0"/>
    <xf numFmtId="0" fontId="6" fillId="5" borderId="8" applyNumberFormat="0" applyAlignment="0" applyProtection="0"/>
    <xf numFmtId="0" fontId="7" fillId="6" borderId="8" applyNumberFormat="0" applyAlignment="0" applyProtection="0"/>
    <xf numFmtId="0" fontId="2" fillId="0" borderId="0"/>
  </cellStyleXfs>
  <cellXfs count="7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right" vertical="center" indent="1"/>
    </xf>
    <xf numFmtId="0" fontId="6" fillId="5" borderId="8" xfId="2" applyAlignment="1">
      <alignment horizontal="left" vertical="center" indent="1"/>
    </xf>
    <xf numFmtId="14" fontId="7" fillId="6" borderId="8" xfId="3" applyNumberFormat="1" applyAlignment="1">
      <alignment horizontal="left" vertical="center" indent="1"/>
    </xf>
    <xf numFmtId="0" fontId="5" fillId="0" borderId="0" xfId="0" applyFont="1" applyAlignment="1">
      <alignment horizontal="center" vertical="center"/>
    </xf>
    <xf numFmtId="14" fontId="7" fillId="6" borderId="8" xfId="3" applyNumberFormat="1" applyAlignment="1">
      <alignment horizontal="center" vertical="center"/>
    </xf>
    <xf numFmtId="0" fontId="7" fillId="6" borderId="8" xfId="3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textRotation="90" wrapText="1"/>
    </xf>
    <xf numFmtId="0" fontId="11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horizontal="center" vertical="center" textRotation="90" wrapText="1"/>
    </xf>
    <xf numFmtId="0" fontId="12" fillId="0" borderId="1" xfId="0" applyFont="1" applyBorder="1" applyAlignment="1">
      <alignment horizontal="center" vertical="center"/>
    </xf>
    <xf numFmtId="0" fontId="12" fillId="0" borderId="0" xfId="0" applyFont="1"/>
    <xf numFmtId="0" fontId="14" fillId="0" borderId="0" xfId="0" applyFont="1"/>
    <xf numFmtId="0" fontId="12" fillId="0" borderId="1" xfId="0" applyFont="1" applyBorder="1" applyAlignment="1">
      <alignment horizontal="center" vertical="center" shrinkToFit="1"/>
    </xf>
    <xf numFmtId="0" fontId="12" fillId="2" borderId="1" xfId="0" applyFont="1" applyFill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8" fillId="0" borderId="0" xfId="0" applyFont="1"/>
    <xf numFmtId="0" fontId="19" fillId="0" borderId="0" xfId="0" applyFont="1" applyAlignment="1">
      <alignment horizont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/>
    </xf>
    <xf numFmtId="0" fontId="15" fillId="0" borderId="0" xfId="0" applyFont="1" applyAlignment="1" applyProtection="1">
      <alignment vertical="center"/>
      <protection locked="0"/>
    </xf>
    <xf numFmtId="0" fontId="23" fillId="0" borderId="1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5" fillId="3" borderId="0" xfId="0" applyFont="1" applyFill="1" applyAlignment="1">
      <alignment horizontal="center"/>
    </xf>
    <xf numFmtId="0" fontId="25" fillId="13" borderId="0" xfId="0" applyFont="1" applyFill="1" applyAlignment="1">
      <alignment horizontal="center"/>
    </xf>
    <xf numFmtId="0" fontId="25" fillId="14" borderId="0" xfId="0" applyFont="1" applyFill="1" applyAlignment="1">
      <alignment horizontal="center"/>
    </xf>
    <xf numFmtId="0" fontId="25" fillId="11" borderId="0" xfId="0" applyFont="1" applyFill="1" applyAlignment="1">
      <alignment horizontal="center"/>
    </xf>
    <xf numFmtId="0" fontId="26" fillId="12" borderId="0" xfId="0" applyFont="1" applyFill="1" applyAlignment="1">
      <alignment horizontal="center" vertical="center"/>
    </xf>
    <xf numFmtId="0" fontId="22" fillId="3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2" fillId="11" borderId="1" xfId="0" applyFont="1" applyFill="1" applyBorder="1" applyAlignment="1">
      <alignment horizontal="left" vertical="center"/>
    </xf>
    <xf numFmtId="0" fontId="22" fillId="4" borderId="1" xfId="0" applyFont="1" applyFill="1" applyBorder="1" applyAlignment="1">
      <alignment horizontal="left" vertical="center"/>
    </xf>
    <xf numFmtId="0" fontId="22" fillId="7" borderId="1" xfId="0" applyFont="1" applyFill="1" applyBorder="1" applyAlignment="1">
      <alignment horizontal="left" vertical="center"/>
    </xf>
    <xf numFmtId="0" fontId="22" fillId="8" borderId="1" xfId="0" applyFont="1" applyFill="1" applyBorder="1" applyAlignment="1">
      <alignment horizontal="left" vertical="center"/>
    </xf>
    <xf numFmtId="0" fontId="22" fillId="9" borderId="1" xfId="0" applyFont="1" applyFill="1" applyBorder="1" applyAlignment="1">
      <alignment horizontal="left" vertical="center"/>
    </xf>
    <xf numFmtId="0" fontId="22" fillId="10" borderId="1" xfId="0" applyFont="1" applyFill="1" applyBorder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textRotation="90" wrapText="1"/>
    </xf>
    <xf numFmtId="0" fontId="10" fillId="0" borderId="5" xfId="0" applyFont="1" applyBorder="1" applyAlignment="1">
      <alignment horizontal="center" vertical="center" textRotation="90" wrapText="1"/>
    </xf>
    <xf numFmtId="0" fontId="10" fillId="0" borderId="6" xfId="0" applyFont="1" applyBorder="1" applyAlignment="1">
      <alignment horizontal="center" vertical="center" textRotation="90" wrapText="1"/>
    </xf>
    <xf numFmtId="0" fontId="15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164" fontId="9" fillId="0" borderId="0" xfId="1" applyNumberFormat="1" applyFont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</cellXfs>
  <cellStyles count="5">
    <cellStyle name="Calculation" xfId="3" builtinId="22"/>
    <cellStyle name="Hyperlink" xfId="1" builtinId="8"/>
    <cellStyle name="Input" xfId="2" builtinId="20"/>
    <cellStyle name="Normal" xfId="0" builtinId="0"/>
    <cellStyle name="Normal 2" xfId="4" xr:uid="{00000000-0005-0000-0000-000004000000}"/>
  </cellStyles>
  <dxfs count="0"/>
  <tableStyles count="0" defaultTableStyle="TableStyleMedium2" defaultPivotStyle="PivotStyleLight16"/>
  <colors>
    <mruColors>
      <color rgb="FF92D050"/>
      <color rgb="FFFFFFF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workbookViewId="0">
      <selection activeCell="F19" sqref="F19:F20"/>
    </sheetView>
  </sheetViews>
  <sheetFormatPr defaultColWidth="9" defaultRowHeight="13.2"/>
  <cols>
    <col min="1" max="1" width="19.6640625" customWidth="1"/>
    <col min="2" max="5" width="12.6640625" customWidth="1"/>
    <col min="6" max="6" width="13.6640625" customWidth="1"/>
    <col min="7" max="8" width="12.6640625" customWidth="1"/>
  </cols>
  <sheetData>
    <row r="1" spans="1:7" ht="14.4">
      <c r="A1" s="3" t="s">
        <v>0</v>
      </c>
      <c r="B1" s="4">
        <v>2026</v>
      </c>
    </row>
    <row r="2" spans="1:7" ht="14.4">
      <c r="A2" s="3" t="s">
        <v>1</v>
      </c>
      <c r="B2" s="4">
        <v>5</v>
      </c>
    </row>
    <row r="3" spans="1:7" ht="14.4">
      <c r="A3" s="3" t="s">
        <v>2</v>
      </c>
      <c r="B3" s="5">
        <f>DATE(anul,luna,1)</f>
        <v>46143</v>
      </c>
    </row>
    <row r="5" spans="1:7"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</row>
    <row r="6" spans="1:7" ht="14.4">
      <c r="A6" s="3" t="s">
        <v>9</v>
      </c>
      <c r="B6" s="7">
        <f>IF(WEEKDAY(primazi,1)=1,primazi,primazi-WEEKDAY(primazi,1)+8)</f>
        <v>46145</v>
      </c>
      <c r="C6" s="7">
        <f>IF(MONTH(duminică1+7)=luna,duminică1+7,""+99)</f>
        <v>46152</v>
      </c>
      <c r="D6" s="7">
        <f>IF(MONTH(duminică2+7)=luna,duminică2+7,""+99)</f>
        <v>46159</v>
      </c>
      <c r="E6" s="7">
        <f>IF(MONTH(duminică3+7)=luna,duminică3+7,""+99)</f>
        <v>46166</v>
      </c>
      <c r="F6" s="7">
        <f>IF(MONTH(duminică4+7)=luna,duminică4+7,""+99)</f>
        <v>46173</v>
      </c>
      <c r="G6" s="7" t="e">
        <f>IF(MONTH(duminică5+7)=luna,duminică5+7,""+99)</f>
        <v>#VALUE!</v>
      </c>
    </row>
    <row r="7" spans="1:7" ht="14.4">
      <c r="A7" s="3" t="s">
        <v>10</v>
      </c>
      <c r="B7" s="7">
        <f>IF(MONTH(duminică1+1)=luna,duminică1+1,""+99)</f>
        <v>46146</v>
      </c>
      <c r="C7" s="7">
        <f>IF(MONTH(duminică2+1)=luna,duminică2+1,""+99)</f>
        <v>46153</v>
      </c>
      <c r="D7" s="7">
        <f>IF(MONTH(duminică3+1)=luna,duminică3+1,""+99)</f>
        <v>46160</v>
      </c>
      <c r="E7" s="7">
        <f>IF(MONTH(duminică4+1)=luna,duminică4+1,""+99)</f>
        <v>46167</v>
      </c>
      <c r="F7" s="7" t="e">
        <f>IF(MONTH(duminică5+1)=luna,duminică5+1,""+99)</f>
        <v>#VALUE!</v>
      </c>
      <c r="G7" s="7">
        <f>EOMONTH(primazi,0)</f>
        <v>46173</v>
      </c>
    </row>
    <row r="9" spans="1:7">
      <c r="B9" s="6" t="s">
        <v>11</v>
      </c>
    </row>
    <row r="10" spans="1:7" ht="14.4">
      <c r="A10" s="3" t="s">
        <v>12</v>
      </c>
      <c r="B10" s="8" t="str">
        <f>IFERROR(TEXT(DAY(primazi),"00")&amp;"…"&amp;TEXT(DAY(duminică1),"00"),"")</f>
        <v>01…03</v>
      </c>
    </row>
    <row r="11" spans="1:7" ht="14.4">
      <c r="A11" s="3" t="s">
        <v>13</v>
      </c>
      <c r="B11" s="8" t="str">
        <f>IFERROR(TEXT(DAY(luni2),"00")&amp;"…"&amp;TEXT(DAY(duminică2),"00"),"")</f>
        <v>04…10</v>
      </c>
    </row>
    <row r="12" spans="1:7" ht="14.4">
      <c r="A12" s="3" t="s">
        <v>14</v>
      </c>
      <c r="B12" s="8" t="str">
        <f>IFERROR(TEXT(DAY(luni3),"00")&amp;"…"&amp;TEXT(DAY(duminică3),"00"),"")</f>
        <v>11…17</v>
      </c>
    </row>
    <row r="13" spans="1:7" ht="14.4">
      <c r="A13" s="3" t="s">
        <v>15</v>
      </c>
      <c r="B13" s="8" t="str">
        <f>IFERROR(TEXT(DAY(luni4),"00")&amp;"…"&amp;TEXT(DAY(duminică4),"00"),"")</f>
        <v>18…24</v>
      </c>
    </row>
    <row r="14" spans="1:7" ht="14.4">
      <c r="A14" s="3" t="s">
        <v>16</v>
      </c>
      <c r="B14" s="8" t="str">
        <f>IFERROR(DAY(luni5)&amp;"…"&amp;IFERROR(DAY(duminică5),DAY(ultimazi)),"")</f>
        <v>25…31</v>
      </c>
    </row>
    <row r="15" spans="1:7" ht="14.4">
      <c r="A15" s="3" t="s">
        <v>17</v>
      </c>
      <c r="B15" s="8" t="str">
        <f>IFERROR(DAY(luni6)&amp;"…"&amp;IFERROR(DAY(duminică6),DAY(ultimazi)),"")</f>
        <v/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D27"/>
  <sheetViews>
    <sheetView workbookViewId="0">
      <selection activeCell="A6" sqref="A6:B22"/>
    </sheetView>
  </sheetViews>
  <sheetFormatPr defaultColWidth="9" defaultRowHeight="13.2"/>
  <cols>
    <col min="1" max="1" width="15.6640625" style="2" customWidth="1"/>
    <col min="2" max="2" width="55.6640625" style="56" customWidth="1"/>
    <col min="3" max="3" width="69.44140625" style="1" customWidth="1"/>
    <col min="4" max="4" width="15.6640625" style="38" customWidth="1"/>
    <col min="5" max="5" width="13.6640625" customWidth="1"/>
  </cols>
  <sheetData>
    <row r="4" spans="1:4" ht="18">
      <c r="A4" s="47"/>
      <c r="B4" s="58" t="s">
        <v>69</v>
      </c>
      <c r="C4" s="57" t="s">
        <v>74</v>
      </c>
      <c r="D4" s="57" t="s">
        <v>79</v>
      </c>
    </row>
    <row r="5" spans="1:4" ht="16.2">
      <c r="A5" s="47"/>
      <c r="B5" s="49"/>
      <c r="C5" s="38"/>
    </row>
    <row r="6" spans="1:4" ht="18">
      <c r="A6" s="48" t="s">
        <v>20</v>
      </c>
      <c r="B6" s="46" t="s">
        <v>19</v>
      </c>
      <c r="C6" s="41" t="s">
        <v>75</v>
      </c>
      <c r="D6" s="41">
        <v>9</v>
      </c>
    </row>
    <row r="7" spans="1:4" ht="18">
      <c r="A7" s="48" t="s">
        <v>26</v>
      </c>
      <c r="B7" s="46" t="s">
        <v>21</v>
      </c>
      <c r="C7" s="43" t="s">
        <v>76</v>
      </c>
      <c r="D7" s="43">
        <v>5</v>
      </c>
    </row>
    <row r="8" spans="1:4" ht="18">
      <c r="A8" s="48" t="s">
        <v>24</v>
      </c>
      <c r="B8" s="46" t="s">
        <v>23</v>
      </c>
      <c r="C8" s="44" t="s">
        <v>77</v>
      </c>
      <c r="D8" s="44">
        <v>4</v>
      </c>
    </row>
    <row r="9" spans="1:4" ht="18">
      <c r="A9" s="37" t="s">
        <v>18</v>
      </c>
      <c r="B9" s="46" t="s">
        <v>25</v>
      </c>
      <c r="C9" s="42" t="s">
        <v>78</v>
      </c>
      <c r="D9" s="42">
        <v>30</v>
      </c>
    </row>
    <row r="10" spans="1:4" ht="30">
      <c r="A10" s="48" t="s">
        <v>70</v>
      </c>
      <c r="B10" s="46" t="s">
        <v>27</v>
      </c>
      <c r="C10" s="40"/>
      <c r="D10" s="45">
        <f>SUM(D6:D9)</f>
        <v>48</v>
      </c>
    </row>
    <row r="11" spans="1:4" ht="18">
      <c r="A11" s="48" t="s">
        <v>26</v>
      </c>
      <c r="B11" s="50" t="s">
        <v>66</v>
      </c>
      <c r="C11" s="38"/>
      <c r="D11" s="39"/>
    </row>
    <row r="12" spans="1:4" ht="18">
      <c r="A12" s="48" t="s">
        <v>28</v>
      </c>
      <c r="B12" s="50" t="s">
        <v>67</v>
      </c>
      <c r="C12" s="38"/>
    </row>
    <row r="13" spans="1:4" ht="18">
      <c r="A13" s="48" t="s">
        <v>22</v>
      </c>
      <c r="B13" s="50" t="s">
        <v>68</v>
      </c>
      <c r="C13" s="38"/>
    </row>
    <row r="14" spans="1:4" ht="18">
      <c r="A14" s="48" t="s">
        <v>26</v>
      </c>
      <c r="B14" s="51" t="s">
        <v>29</v>
      </c>
      <c r="C14" s="38"/>
    </row>
    <row r="15" spans="1:4" ht="18">
      <c r="A15" s="48" t="s">
        <v>28</v>
      </c>
      <c r="B15" s="50" t="s">
        <v>72</v>
      </c>
      <c r="C15" s="38"/>
    </row>
    <row r="16" spans="1:4" ht="18">
      <c r="A16" s="48" t="s">
        <v>22</v>
      </c>
      <c r="B16" s="50" t="s">
        <v>73</v>
      </c>
      <c r="C16" s="38"/>
    </row>
    <row r="17" spans="1:3" ht="18">
      <c r="A17" s="48" t="s">
        <v>22</v>
      </c>
      <c r="B17" s="52" t="s">
        <v>30</v>
      </c>
      <c r="C17" s="38"/>
    </row>
    <row r="18" spans="1:3" ht="18">
      <c r="A18" s="48" t="s">
        <v>70</v>
      </c>
      <c r="B18" s="53" t="s">
        <v>31</v>
      </c>
      <c r="C18" s="38"/>
    </row>
    <row r="19" spans="1:3" ht="18">
      <c r="A19" s="48" t="s">
        <v>22</v>
      </c>
      <c r="B19" s="54" t="s">
        <v>32</v>
      </c>
      <c r="C19" s="38"/>
    </row>
    <row r="20" spans="1:3" ht="18">
      <c r="A20" s="48" t="s">
        <v>71</v>
      </c>
      <c r="B20" s="55" t="s">
        <v>33</v>
      </c>
      <c r="C20" s="38"/>
    </row>
    <row r="21" spans="1:3" ht="18">
      <c r="A21" s="37" t="s">
        <v>26</v>
      </c>
      <c r="B21" s="55" t="s">
        <v>34</v>
      </c>
      <c r="C21" s="38"/>
    </row>
    <row r="22" spans="1:3" ht="18">
      <c r="A22" s="37" t="s">
        <v>70</v>
      </c>
      <c r="B22" s="55" t="s">
        <v>35</v>
      </c>
      <c r="C22" s="38"/>
    </row>
    <row r="23" spans="1:3">
      <c r="B23" s="2"/>
      <c r="C23" s="38"/>
    </row>
    <row r="24" spans="1:3">
      <c r="B24" s="2"/>
      <c r="C24" s="38"/>
    </row>
    <row r="25" spans="1:3">
      <c r="B25" s="2"/>
      <c r="C25" s="38"/>
    </row>
    <row r="26" spans="1:3">
      <c r="B26" s="2"/>
      <c r="C26" s="38"/>
    </row>
    <row r="27" spans="1:3">
      <c r="B27" s="2"/>
      <c r="C27" s="3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4"/>
  <sheetViews>
    <sheetView tabSelected="1" topLeftCell="B7" zoomScale="120" zoomScaleNormal="120" workbookViewId="0">
      <selection activeCell="D10" sqref="D10:D15"/>
    </sheetView>
  </sheetViews>
  <sheetFormatPr defaultColWidth="9.109375" defaultRowHeight="11.4"/>
  <cols>
    <col min="1" max="1" width="9.109375" style="9"/>
    <col min="2" max="2" width="7.33203125" style="9" customWidth="1"/>
    <col min="3" max="3" width="15.5546875" style="9" customWidth="1"/>
    <col min="4" max="4" width="6.88671875" style="9" customWidth="1"/>
    <col min="5" max="14" width="4.33203125" style="10" customWidth="1"/>
    <col min="15" max="16" width="4.33203125" style="11" customWidth="1"/>
    <col min="17" max="20" width="4.33203125" style="10" customWidth="1"/>
    <col min="21" max="21" width="17.77734375" style="10" customWidth="1"/>
    <col min="22" max="22" width="6.77734375" style="10" customWidth="1"/>
    <col min="23" max="23" width="4.77734375" style="9" customWidth="1"/>
    <col min="24" max="16384" width="9.109375" style="9"/>
  </cols>
  <sheetData>
    <row r="1" spans="1:24">
      <c r="B1" s="69" t="s">
        <v>36</v>
      </c>
      <c r="C1" s="69"/>
      <c r="D1" s="69"/>
      <c r="E1" s="9"/>
    </row>
    <row r="2" spans="1:24">
      <c r="B2" s="9" t="s">
        <v>37</v>
      </c>
      <c r="E2" s="9"/>
      <c r="F2" s="9"/>
      <c r="G2" s="9"/>
    </row>
    <row r="4" spans="1:24">
      <c r="B4" s="70" t="s">
        <v>38</v>
      </c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</row>
    <row r="5" spans="1:24">
      <c r="B5" s="71">
        <f>primazi</f>
        <v>46143</v>
      </c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</row>
    <row r="7" spans="1:24" s="10" customFormat="1" ht="97.5" customHeight="1">
      <c r="A7" s="12" t="s">
        <v>39</v>
      </c>
      <c r="B7" s="13" t="s">
        <v>40</v>
      </c>
      <c r="C7" s="14" t="s">
        <v>41</v>
      </c>
      <c r="D7" s="15" t="s">
        <v>42</v>
      </c>
      <c r="E7" s="16" t="s">
        <v>48</v>
      </c>
      <c r="F7" s="16" t="s">
        <v>49</v>
      </c>
      <c r="G7" s="16" t="s">
        <v>50</v>
      </c>
      <c r="H7" s="16" t="s">
        <v>51</v>
      </c>
      <c r="I7" s="17" t="s">
        <v>52</v>
      </c>
      <c r="J7" s="16" t="s">
        <v>53</v>
      </c>
      <c r="K7" s="16" t="s">
        <v>54</v>
      </c>
      <c r="L7" s="17" t="s">
        <v>55</v>
      </c>
      <c r="M7" s="17" t="s">
        <v>56</v>
      </c>
      <c r="N7" s="17" t="s">
        <v>57</v>
      </c>
      <c r="O7" s="17" t="s">
        <v>58</v>
      </c>
      <c r="P7" s="17" t="s">
        <v>59</v>
      </c>
      <c r="Q7" s="17" t="s">
        <v>60</v>
      </c>
      <c r="R7" s="17" t="s">
        <v>61</v>
      </c>
      <c r="S7" s="17" t="s">
        <v>62</v>
      </c>
      <c r="T7" s="17" t="s">
        <v>63</v>
      </c>
      <c r="U7" s="12" t="s">
        <v>64</v>
      </c>
      <c r="V7" s="13" t="s">
        <v>43</v>
      </c>
    </row>
    <row r="8" spans="1:24" s="19" customFormat="1" ht="9" customHeight="1">
      <c r="A8" s="18"/>
      <c r="B8" s="72" t="str">
        <f>"Perioada "&amp;TEXT(primazi,"dd.mm.yyyy")&amp;" ‒ "&amp;TEXT(ultimazi,"dd.mm.yyyy")</f>
        <v>Perioada 01.05.2026 ‒ 31.05.2026</v>
      </c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4"/>
      <c r="X8" s="20"/>
    </row>
    <row r="9" spans="1:24" s="19" customFormat="1" ht="9" customHeight="1">
      <c r="A9" s="18">
        <v>0</v>
      </c>
      <c r="B9" s="21">
        <v>1</v>
      </c>
      <c r="C9" s="22">
        <v>2</v>
      </c>
      <c r="D9" s="21">
        <v>3</v>
      </c>
      <c r="E9" s="18">
        <v>4</v>
      </c>
      <c r="F9" s="18">
        <v>5</v>
      </c>
      <c r="G9" s="18">
        <v>6</v>
      </c>
      <c r="H9" s="18">
        <v>7</v>
      </c>
      <c r="I9" s="18">
        <v>8</v>
      </c>
      <c r="J9" s="18">
        <v>9</v>
      </c>
      <c r="K9" s="18">
        <v>10</v>
      </c>
      <c r="L9" s="18">
        <v>11</v>
      </c>
      <c r="M9" s="18">
        <v>12</v>
      </c>
      <c r="N9" s="18">
        <v>13</v>
      </c>
      <c r="O9" s="18">
        <v>14</v>
      </c>
      <c r="P9" s="18">
        <v>15</v>
      </c>
      <c r="Q9" s="18">
        <v>16</v>
      </c>
      <c r="R9" s="18">
        <v>17</v>
      </c>
      <c r="S9" s="18">
        <v>18</v>
      </c>
      <c r="T9" s="18">
        <v>19</v>
      </c>
      <c r="U9" s="18">
        <v>20</v>
      </c>
      <c r="V9" s="18">
        <v>21</v>
      </c>
      <c r="X9" s="20"/>
    </row>
    <row r="10" spans="1:24" ht="12.75" customHeight="1">
      <c r="A10" s="59">
        <v>1</v>
      </c>
      <c r="B10" s="12" t="str">
        <f>săptămâna1</f>
        <v>01…03</v>
      </c>
      <c r="C10" s="62" t="s">
        <v>84</v>
      </c>
      <c r="D10" s="65" t="s">
        <v>85</v>
      </c>
      <c r="E10" s="12"/>
      <c r="F10" s="12"/>
      <c r="G10" s="12"/>
      <c r="H10" s="12"/>
      <c r="I10" s="12"/>
      <c r="J10" s="12"/>
      <c r="K10" s="12"/>
      <c r="L10" s="12"/>
      <c r="M10" s="23"/>
      <c r="N10" s="23"/>
      <c r="O10" s="23"/>
      <c r="P10" s="23"/>
      <c r="Q10" s="23"/>
      <c r="R10" s="23"/>
      <c r="S10" s="23"/>
      <c r="T10" s="23"/>
      <c r="U10" s="24" t="s">
        <v>81</v>
      </c>
      <c r="V10" s="23">
        <f t="shared" ref="V10:V15" si="0">SUM(E10:R10,T10,8*S10)</f>
        <v>0</v>
      </c>
      <c r="W10" s="25">
        <v>0</v>
      </c>
      <c r="X10" s="26">
        <v>24</v>
      </c>
    </row>
    <row r="11" spans="1:24" ht="12">
      <c r="A11" s="60"/>
      <c r="B11" s="23" t="str">
        <f>săptămâna2</f>
        <v>04…10</v>
      </c>
      <c r="C11" s="63"/>
      <c r="D11" s="66"/>
      <c r="E11" s="12"/>
      <c r="F11" s="12"/>
      <c r="G11" s="12"/>
      <c r="H11" s="12"/>
      <c r="I11" s="12"/>
      <c r="J11" s="12"/>
      <c r="K11" s="12">
        <v>2</v>
      </c>
      <c r="L11" s="12">
        <v>4</v>
      </c>
      <c r="M11" s="23">
        <v>17</v>
      </c>
      <c r="N11" s="23">
        <v>17</v>
      </c>
      <c r="O11" s="23"/>
      <c r="P11" s="23"/>
      <c r="Q11" s="23"/>
      <c r="R11" s="23"/>
      <c r="S11" s="23"/>
      <c r="T11" s="23"/>
      <c r="U11" s="24"/>
      <c r="V11" s="23">
        <f t="shared" si="0"/>
        <v>40</v>
      </c>
      <c r="W11" s="25">
        <v>40</v>
      </c>
      <c r="X11" s="26">
        <v>32</v>
      </c>
    </row>
    <row r="12" spans="1:24" ht="12">
      <c r="A12" s="60"/>
      <c r="B12" s="23" t="str">
        <f>săptămâna3</f>
        <v>11…17</v>
      </c>
      <c r="C12" s="63"/>
      <c r="D12" s="66"/>
      <c r="E12" s="12"/>
      <c r="F12" s="12"/>
      <c r="G12" s="12"/>
      <c r="H12" s="12"/>
      <c r="I12" s="12"/>
      <c r="J12" s="12"/>
      <c r="K12" s="12"/>
      <c r="L12" s="12"/>
      <c r="M12" s="23">
        <v>20</v>
      </c>
      <c r="N12" s="23">
        <v>20</v>
      </c>
      <c r="O12" s="23"/>
      <c r="P12" s="23"/>
      <c r="Q12" s="23"/>
      <c r="R12" s="23"/>
      <c r="S12" s="23"/>
      <c r="T12" s="23"/>
      <c r="U12" s="24"/>
      <c r="V12" s="23">
        <f t="shared" si="0"/>
        <v>40</v>
      </c>
      <c r="W12" s="25">
        <v>40</v>
      </c>
      <c r="X12" s="26">
        <v>32</v>
      </c>
    </row>
    <row r="13" spans="1:24" ht="12">
      <c r="A13" s="60"/>
      <c r="B13" s="23" t="str">
        <f>săptămâna4</f>
        <v>18…24</v>
      </c>
      <c r="C13" s="63"/>
      <c r="D13" s="66"/>
      <c r="E13" s="12"/>
      <c r="F13" s="12"/>
      <c r="G13" s="12"/>
      <c r="H13" s="12"/>
      <c r="I13" s="12"/>
      <c r="J13" s="12"/>
      <c r="K13" s="12">
        <v>2</v>
      </c>
      <c r="L13" s="12">
        <v>4</v>
      </c>
      <c r="M13" s="23">
        <v>17</v>
      </c>
      <c r="N13" s="23">
        <v>17</v>
      </c>
      <c r="O13" s="23"/>
      <c r="P13" s="23"/>
      <c r="Q13" s="23"/>
      <c r="R13" s="23"/>
      <c r="S13" s="23"/>
      <c r="T13" s="23"/>
      <c r="U13" s="24"/>
      <c r="V13" s="23">
        <f t="shared" si="0"/>
        <v>40</v>
      </c>
      <c r="W13" s="25">
        <v>40</v>
      </c>
      <c r="X13" s="26">
        <v>40</v>
      </c>
    </row>
    <row r="14" spans="1:24" ht="12">
      <c r="A14" s="60"/>
      <c r="B14" s="23" t="str">
        <f>săptămâna5</f>
        <v>25…31</v>
      </c>
      <c r="C14" s="63"/>
      <c r="D14" s="66"/>
      <c r="E14" s="12"/>
      <c r="F14" s="12"/>
      <c r="G14" s="12"/>
      <c r="H14" s="12"/>
      <c r="I14" s="12"/>
      <c r="J14" s="12"/>
      <c r="K14" s="12"/>
      <c r="L14" s="12"/>
      <c r="M14" s="23">
        <v>20</v>
      </c>
      <c r="N14" s="23">
        <v>20</v>
      </c>
      <c r="O14" s="23"/>
      <c r="P14" s="23"/>
      <c r="Q14" s="23"/>
      <c r="R14" s="23"/>
      <c r="S14" s="23"/>
      <c r="T14" s="23"/>
      <c r="U14" s="24"/>
      <c r="V14" s="23">
        <f t="shared" si="0"/>
        <v>40</v>
      </c>
      <c r="W14" s="27">
        <v>40</v>
      </c>
      <c r="X14" s="26">
        <v>32</v>
      </c>
    </row>
    <row r="15" spans="1:24" ht="12">
      <c r="A15" s="61"/>
      <c r="B15" s="23" t="str">
        <f>săptămâna6</f>
        <v/>
      </c>
      <c r="C15" s="64"/>
      <c r="D15" s="67"/>
      <c r="E15" s="12"/>
      <c r="F15" s="12"/>
      <c r="G15" s="12"/>
      <c r="H15" s="12"/>
      <c r="I15" s="12"/>
      <c r="J15" s="12"/>
      <c r="K15" s="12"/>
      <c r="L15" s="12"/>
      <c r="M15" s="23"/>
      <c r="N15" s="23"/>
      <c r="O15" s="23"/>
      <c r="P15" s="23"/>
      <c r="Q15" s="23"/>
      <c r="R15" s="23"/>
      <c r="S15" s="23"/>
      <c r="T15" s="23"/>
      <c r="U15" s="28"/>
      <c r="V15" s="23">
        <f t="shared" si="0"/>
        <v>0</v>
      </c>
      <c r="W15" s="25"/>
      <c r="X15" s="26">
        <v>0</v>
      </c>
    </row>
    <row r="16" spans="1:24" ht="12">
      <c r="C16" s="29"/>
      <c r="D16" s="29"/>
      <c r="U16" s="30" t="s">
        <v>44</v>
      </c>
      <c r="V16" s="10">
        <f>SUM(V10:V15)</f>
        <v>160</v>
      </c>
      <c r="W16" s="31">
        <f>SUM(W10:W15)</f>
        <v>160</v>
      </c>
      <c r="X16" s="26">
        <f>SUM(X10:X15)</f>
        <v>160</v>
      </c>
    </row>
    <row r="17" spans="3:24">
      <c r="X17" s="32"/>
    </row>
    <row r="19" spans="3:24" ht="12">
      <c r="C19" s="33" t="s">
        <v>45</v>
      </c>
    </row>
    <row r="20" spans="3:24" ht="13.8">
      <c r="D20" s="25" t="s">
        <v>46</v>
      </c>
      <c r="E20" s="34" t="s">
        <v>80</v>
      </c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</row>
    <row r="21" spans="3:24" ht="12">
      <c r="D21" s="25" t="s">
        <v>47</v>
      </c>
      <c r="E21" s="68" t="s">
        <v>83</v>
      </c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9"/>
    </row>
    <row r="22" spans="3:24" ht="12">
      <c r="D22" s="35" t="s">
        <v>65</v>
      </c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</row>
    <row r="23" spans="3:24" ht="12">
      <c r="D23" s="25" t="s">
        <v>82</v>
      </c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</row>
    <row r="24" spans="3:24" ht="12">
      <c r="D24" s="35"/>
      <c r="E24" s="36"/>
      <c r="F24" s="34"/>
      <c r="G24" s="34"/>
      <c r="H24" s="34"/>
      <c r="I24" s="34"/>
      <c r="J24" s="34"/>
      <c r="K24" s="34"/>
    </row>
  </sheetData>
  <mergeCells count="10">
    <mergeCell ref="E23:R23"/>
    <mergeCell ref="E21:R21"/>
    <mergeCell ref="A10:A15"/>
    <mergeCell ref="C10:C15"/>
    <mergeCell ref="D10:D15"/>
    <mergeCell ref="E22:R22"/>
    <mergeCell ref="B1:D1"/>
    <mergeCell ref="B4:V4"/>
    <mergeCell ref="B5:V5"/>
    <mergeCell ref="B8:V8"/>
  </mergeCells>
  <dataValidations count="16">
    <dataValidation allowBlank="1" showInputMessage="1" showErrorMessage="1" promptTitle="ore Curs" prompt="0…40" sqref="E10:E15" xr:uid="{00000000-0002-0000-0200-000000000000}"/>
    <dataValidation allowBlank="1" showInputMessage="1" showErrorMessage="1" promptTitle="ore Seminar" prompt="0…40" sqref="F10:F15" xr:uid="{00000000-0002-0000-0200-000001000000}"/>
    <dataValidation allowBlank="1" showInputMessage="1" showErrorMessage="1" promptTitle="ore Lucrări" prompt="0…40" sqref="G10:G15" xr:uid="{00000000-0002-0000-0200-000002000000}"/>
    <dataValidation allowBlank="1" showInputMessage="1" showErrorMessage="1" promptTitle="ore Proiecte" prompt="0…40" sqref="H10:H15" xr:uid="{00000000-0002-0000-0200-000003000000}"/>
    <dataValidation allowBlank="1" showInputMessage="1" showErrorMessage="1" promptTitle="ore Îndrumare Doctoranzi" prompt="0…40" sqref="I10:I15" xr:uid="{00000000-0002-0000-0200-000004000000}"/>
    <dataValidation allowBlank="1" showInputMessage="1" showErrorMessage="1" promptTitle="ore Consultații" prompt="0…40" sqref="J10:J15" xr:uid="{00000000-0002-0000-0200-000005000000}"/>
    <dataValidation allowBlank="1" showInputMessage="1" showErrorMessage="1" promptTitle="ore Evaluare" prompt="0…40" sqref="K10:K15" xr:uid="{00000000-0002-0000-0200-000006000000}"/>
    <dataValidation allowBlank="1" showInputMessage="1" showErrorMessage="1" promptTitle="Pregătire pentru act. didactică" prompt="0…40 (ore)" sqref="L10:L15" xr:uid="{00000000-0002-0000-0200-000007000000}"/>
    <dataValidation allowBlank="1" showInputMessage="1" showErrorMessage="1" promptTitle="Documentare pentru cercetare" prompt="0…40 (ore)" sqref="M10:M15" xr:uid="{00000000-0002-0000-0200-000008000000}"/>
    <dataValidation allowBlank="1" showInputMessage="1" showErrorMessage="1" promptTitle="Documentare oportunități finanț." prompt="0…40 (ore)" sqref="N10:N15" xr:uid="{00000000-0002-0000-0200-000009000000}"/>
    <dataValidation allowBlank="1" showInputMessage="1" showErrorMessage="1" promptTitle="Elaborare proiecte de cercetare" prompt="0…40 (ore)" sqref="O10:O15" xr:uid="{00000000-0002-0000-0200-00000A000000}"/>
    <dataValidation allowBlank="1" showInputMessage="1" showErrorMessage="1" promptTitle="Execuție proiecte de cercetare" prompt="0…40 (ore)" sqref="P10:P15" xr:uid="{00000000-0002-0000-0200-00000B000000}"/>
    <dataValidation allowBlank="1" showInputMessage="1" showErrorMessage="1" promptTitle="Implicare nerem. în probl. soc." prompt="0…40 (ore)" sqref="Q10:Q15" xr:uid="{00000000-0002-0000-0200-00000C000000}"/>
    <dataValidation allowBlank="1" showInputMessage="1" showErrorMessage="1" promptTitle="Gest. cooperări internaționale" prompt="0…40 (ore)" sqref="R10:R15" xr:uid="{00000000-0002-0000-0200-00000D000000}"/>
    <dataValidation allowBlank="1" showInputMessage="1" showErrorMessage="1" promptTitle="ZILE Delegație" prompt="0…5 (zile)" sqref="S10:S15" xr:uid="{00000000-0002-0000-0200-00000E000000}"/>
    <dataValidation allowBlank="1" showInputMessage="1" showErrorMessage="1" promptTitle="ore Alte activități" prompt="0…40 (ore)" sqref="T10:T15" xr:uid="{00000000-0002-0000-0200-00000F000000}"/>
  </dataValidations>
  <hyperlinks>
    <hyperlink ref="B5:V5" location="luna" display="=primazi" xr:uid="{00000000-0004-0000-0200-000000000000}"/>
  </hyperlinks>
  <pageMargins left="0.511811023622047" right="0.511811023622047" top="0.196850393700787" bottom="0.196850393700787" header="0.196850393700787" footer="0.196850393700787"/>
  <pageSetup paperSize="9" orientation="landscape" r:id="rId1"/>
  <headerFooter alignWithMargins="0">
    <oddFooter>&amp;Cpag.&amp;P/&amp;N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23</vt:i4>
      </vt:variant>
    </vt:vector>
  </HeadingPairs>
  <TitlesOfParts>
    <vt:vector size="26" baseType="lpstr">
      <vt:lpstr>Luna</vt:lpstr>
      <vt:lpstr>Zile_libere+CO</vt:lpstr>
      <vt:lpstr>Pontaj</vt:lpstr>
      <vt:lpstr>anul</vt:lpstr>
      <vt:lpstr>duminică1</vt:lpstr>
      <vt:lpstr>duminică2</vt:lpstr>
      <vt:lpstr>duminică3</vt:lpstr>
      <vt:lpstr>duminică4</vt:lpstr>
      <vt:lpstr>duminică5</vt:lpstr>
      <vt:lpstr>duminică6</vt:lpstr>
      <vt:lpstr>luna</vt:lpstr>
      <vt:lpstr>luni2</vt:lpstr>
      <vt:lpstr>luni3</vt:lpstr>
      <vt:lpstr>luni4</vt:lpstr>
      <vt:lpstr>luni5</vt:lpstr>
      <vt:lpstr>luni6</vt:lpstr>
      <vt:lpstr>primazi</vt:lpstr>
      <vt:lpstr>Luna!Print_Area</vt:lpstr>
      <vt:lpstr>Pontaj!Print_Titles</vt:lpstr>
      <vt:lpstr>săptămâna1</vt:lpstr>
      <vt:lpstr>săptămâna2</vt:lpstr>
      <vt:lpstr>săptămâna3</vt:lpstr>
      <vt:lpstr>săptămâna4</vt:lpstr>
      <vt:lpstr>săptămâna5</vt:lpstr>
      <vt:lpstr>săptămâna6</vt:lpstr>
      <vt:lpstr>ultimazi</vt:lpstr>
    </vt:vector>
  </TitlesOfParts>
  <Company>UPT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Lucica ANTON</dc:creator>
  <cp:lastModifiedBy>Versavia Ancusa</cp:lastModifiedBy>
  <cp:lastPrinted>2026-01-13T10:18:20Z</cp:lastPrinted>
  <dcterms:created xsi:type="dcterms:W3CDTF">2009-12-02T09:03:00Z</dcterms:created>
  <dcterms:modified xsi:type="dcterms:W3CDTF">2026-05-17T05:06:24Z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8B233CF4A31F4451A267E9822F75EFAE_12</vt:lpwstr>
  </property>
  <property fmtid="{D5CDD505-2E9C-101B-9397-08002B2CF9AE}" pid="3" name="KSOProductBuildVer">
    <vt:lpwstr>1033-12.2.0.20326</vt:lpwstr>
  </property>
</Properties>
</file>