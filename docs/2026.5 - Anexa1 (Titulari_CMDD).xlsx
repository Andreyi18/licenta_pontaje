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D:\working\waccache\MR1PEPF0000A4D5\EXCELCNV\1060b171-fc2c-41a3-abe3-eea954f5217f\"/>
    </mc:Choice>
  </mc:AlternateContent>
  <xr:revisionPtr revIDLastSave="0" documentId="8_{7B751666-6A1E-4EAE-BA62-30F2F5CB1CA8}" xr6:coauthVersionLast="47" xr6:coauthVersionMax="47" xr10:uidLastSave="{00000000-0000-0000-0000-000000000000}"/>
  <bookViews>
    <workbookView xWindow="-60" yWindow="-60" windowWidth="15480" windowHeight="11640" tabRatio="668" xr2:uid="{89366067-6C07-4BEE-8C8F-48A0C7ADB0B0}"/>
  </bookViews>
  <sheets>
    <sheet name="TCMDD-săpt-1" sheetId="1" r:id="rId1"/>
    <sheet name="TCMDD-săpt-2" sheetId="2" r:id="rId2"/>
    <sheet name="TCMDD-săpt-3" sheetId="3" r:id="rId3"/>
    <sheet name="TCMDD-săpt-4" sheetId="4" r:id="rId4"/>
    <sheet name="TCMDD-săpt-5" sheetId="5" r:id="rId5"/>
    <sheet name="TCMDD-săpt-6" sheetId="6" state="hidden" r:id="rId6"/>
  </sheets>
  <definedNames>
    <definedName name="activități">'TCMDD-săpt-1'!$N$8:$N$23</definedName>
    <definedName name="dep">'TCMDD-săpt-1'!$A$2</definedName>
    <definedName name="nuseaplică">'TCMDD-săpt-1'!$N$17</definedName>
    <definedName name="primazi">'TCMDD-săpt-1'!$C$8</definedName>
    <definedName name="_xlnm.Print_Area" localSheetId="0">'TCMDD-săpt-1'!$A$1:$J$23</definedName>
    <definedName name="_xlnm.Print_Area" localSheetId="1">'TCMDD-săpt-2'!$A$1:$J$23</definedName>
    <definedName name="_xlnm.Print_Area" localSheetId="2">'TCMDD-săpt-3'!$A$1:$J$23</definedName>
    <definedName name="_xlnm.Print_Area" localSheetId="3">'TCMDD-săpt-4'!$A$1:$J$23</definedName>
    <definedName name="_xlnm.Print_Area" localSheetId="4">'TCMDD-săpt-5'!$A$1:$J$23</definedName>
    <definedName name="_xlnm.Print_Area" localSheetId="5">'TCMDD-săpt-6'!$A$1:$J$21</definedName>
    <definedName name="titular">'TCMDD-săpt-1'!$A$9</definedName>
    <definedName name="upt">'TCMDD-săpt-1'!$A$1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5" i="5"/>
  <c r="D23" i="5"/>
  <c r="E23" i="5"/>
  <c r="F23" i="5"/>
  <c r="G23" i="5"/>
  <c r="H23" i="5"/>
  <c r="I23" i="5"/>
  <c r="C23" i="5"/>
  <c r="J23" i="5"/>
  <c r="D23" i="2"/>
  <c r="E23" i="2"/>
  <c r="F23" i="2"/>
  <c r="G23" i="2"/>
  <c r="H23" i="2"/>
  <c r="I23" i="2"/>
  <c r="D23" i="3"/>
  <c r="E23" i="3"/>
  <c r="F23" i="3"/>
  <c r="G23" i="3"/>
  <c r="H23" i="3"/>
  <c r="I23" i="3"/>
  <c r="D23" i="4"/>
  <c r="E23" i="4"/>
  <c r="F23" i="4"/>
  <c r="G23" i="4"/>
  <c r="H23" i="4"/>
  <c r="I23" i="4"/>
  <c r="C23" i="4"/>
  <c r="J23" i="4"/>
  <c r="C23" i="3"/>
  <c r="C23" i="2"/>
  <c r="C23" i="1"/>
  <c r="D23" i="1"/>
  <c r="E23" i="1"/>
  <c r="F23" i="1"/>
  <c r="G23" i="1"/>
  <c r="J23" i="1"/>
  <c r="H23" i="1"/>
  <c r="I23" i="1"/>
  <c r="C8" i="6"/>
  <c r="D8" i="6"/>
  <c r="E8" i="6"/>
  <c r="F8" i="6"/>
  <c r="G8" i="6"/>
  <c r="H8" i="6"/>
  <c r="I8" i="6"/>
  <c r="I21" i="6"/>
  <c r="H21" i="6"/>
  <c r="G21" i="6"/>
  <c r="F21" i="6"/>
  <c r="E21" i="6"/>
  <c r="D21" i="6"/>
  <c r="C21" i="6"/>
  <c r="J21" i="6"/>
  <c r="A5" i="6"/>
  <c r="A2" i="6"/>
  <c r="A1" i="6"/>
  <c r="C8" i="5"/>
  <c r="D8" i="5"/>
  <c r="E8" i="5"/>
  <c r="F8" i="5"/>
  <c r="G8" i="5"/>
  <c r="H8" i="5"/>
  <c r="I8" i="5"/>
  <c r="A2" i="5"/>
  <c r="A1" i="5"/>
  <c r="C8" i="4"/>
  <c r="D8" i="4"/>
  <c r="E8" i="4"/>
  <c r="F8" i="4"/>
  <c r="G8" i="4"/>
  <c r="H8" i="4"/>
  <c r="I8" i="4"/>
  <c r="A2" i="4"/>
  <c r="A1" i="4"/>
  <c r="C8" i="3"/>
  <c r="D8" i="3"/>
  <c r="E8" i="3"/>
  <c r="F8" i="3"/>
  <c r="G8" i="3"/>
  <c r="H8" i="3"/>
  <c r="I8" i="3"/>
  <c r="A2" i="3"/>
  <c r="A1" i="3"/>
  <c r="C8" i="2"/>
  <c r="D8" i="2"/>
  <c r="E8" i="2"/>
  <c r="F8" i="2"/>
  <c r="G8" i="2"/>
  <c r="H8" i="2"/>
  <c r="I8" i="2"/>
  <c r="A2" i="2"/>
  <c r="A1" i="2"/>
  <c r="D8" i="1"/>
  <c r="E8" i="1"/>
  <c r="F8" i="1"/>
  <c r="G8" i="1"/>
  <c r="H8" i="1"/>
  <c r="I8" i="1"/>
  <c r="A5" i="2"/>
  <c r="A5" i="3"/>
  <c r="A5" i="4"/>
  <c r="A9" i="4"/>
  <c r="A9" i="6"/>
  <c r="A9" i="5"/>
  <c r="A9" i="3"/>
  <c r="A9" i="2"/>
  <c r="J23" i="3"/>
  <c r="J23" i="2"/>
</calcChain>
</file>

<file path=xl/sharedStrings.xml><?xml version="1.0" encoding="utf-8"?>
<sst xmlns="http://schemas.openxmlformats.org/spreadsheetml/2006/main" count="688" uniqueCount="66">
  <si>
    <t>Universitatea Politehnica Timișoara</t>
  </si>
  <si>
    <t>Anexa 1</t>
  </si>
  <si>
    <t>Departamentul Calculatoare si Tehnologia Informatiei</t>
  </si>
  <si>
    <t>EVIDENȚA NUMĂRULUI DE ORE LUCRATE DE CĂTRE CADRELE DIDACTICE TITULARE
SAU CU CONTRACT DE MUNCĂ PE DURATĂ DETERMINATĂ</t>
  </si>
  <si>
    <t>Nume și prenume
 cadru didactic</t>
  </si>
  <si>
    <t>Program de lucru</t>
  </si>
  <si>
    <t>Activități desfășurate</t>
  </si>
  <si>
    <t>Semnătură
cadru didactic</t>
  </si>
  <si>
    <t>Legendă</t>
  </si>
  <si>
    <t xml:space="preserve">Activități  desfășurate în conformitate cu Fișa Postului </t>
  </si>
  <si>
    <t>CURS</t>
  </si>
  <si>
    <t>A I (C)</t>
  </si>
  <si>
    <t>Ancusa Versavia</t>
  </si>
  <si>
    <t>08-09</t>
  </si>
  <si>
    <t>-</t>
  </si>
  <si>
    <t>SEMINAR</t>
  </si>
  <si>
    <t>A I (S)</t>
  </si>
  <si>
    <t>09-10</t>
  </si>
  <si>
    <t>LABORATOR</t>
  </si>
  <si>
    <t>A I (L)</t>
  </si>
  <si>
    <t>10-11</t>
  </si>
  <si>
    <t>PROIECT</t>
  </si>
  <si>
    <t>A I (P)</t>
  </si>
  <si>
    <t>11-12</t>
  </si>
  <si>
    <r>
      <t xml:space="preserve">cap. </t>
    </r>
    <r>
      <rPr>
        <b/>
        <sz val="11"/>
        <color indexed="8"/>
        <rFont val="Calibri"/>
        <family val="2"/>
      </rPr>
      <t>A II</t>
    </r>
  </si>
  <si>
    <t>A II</t>
  </si>
  <si>
    <t>12-13</t>
  </si>
  <si>
    <r>
      <t>cap.</t>
    </r>
    <r>
      <rPr>
        <b/>
        <sz val="11"/>
        <color indexed="8"/>
        <rFont val="Calibri"/>
        <family val="2"/>
      </rPr>
      <t xml:space="preserve"> B</t>
    </r>
  </si>
  <si>
    <t>B</t>
  </si>
  <si>
    <t>13-14</t>
  </si>
  <si>
    <r>
      <t xml:space="preserve">cap. </t>
    </r>
    <r>
      <rPr>
        <b/>
        <sz val="11"/>
        <color indexed="8"/>
        <rFont val="Calibri"/>
        <family val="2"/>
      </rPr>
      <t>C</t>
    </r>
  </si>
  <si>
    <t>C</t>
  </si>
  <si>
    <t>14-15</t>
  </si>
  <si>
    <t>Deplasare internă</t>
  </si>
  <si>
    <t>DI</t>
  </si>
  <si>
    <t>15-16</t>
  </si>
  <si>
    <t>Deplasare externă</t>
  </si>
  <si>
    <t>DE</t>
  </si>
  <si>
    <t>16-17</t>
  </si>
  <si>
    <t>Nu se aplică</t>
  </si>
  <si>
    <t>17-18</t>
  </si>
  <si>
    <t>Întreruperi activitate</t>
  </si>
  <si>
    <t>CONCEDIU DE ODIHNĂ</t>
  </si>
  <si>
    <t>CO</t>
  </si>
  <si>
    <t>18-19</t>
  </si>
  <si>
    <t>CONCEDIU MEDICAL</t>
  </si>
  <si>
    <t>CME</t>
  </si>
  <si>
    <t>19-20</t>
  </si>
  <si>
    <t>CONCEDIU FĂRĂ SALARIU</t>
  </si>
  <si>
    <t>CFS</t>
  </si>
  <si>
    <t>20-21</t>
  </si>
  <si>
    <t>CONCEDIU CREȘTERE COPIL</t>
  </si>
  <si>
    <t>CCC</t>
  </si>
  <si>
    <t>21-22</t>
  </si>
  <si>
    <t>CONCEDIU DE MATERNITATE</t>
  </si>
  <si>
    <t>CMA</t>
  </si>
  <si>
    <t>Total ore lucrate:</t>
  </si>
  <si>
    <t>ABSENȚE NEMOTIVATE</t>
  </si>
  <si>
    <t>ABS</t>
  </si>
  <si>
    <t>Observatii:</t>
  </si>
  <si>
    <t>1.</t>
  </si>
  <si>
    <t>Cine a fost in delegatie, sa NU uite sa completeze.</t>
  </si>
  <si>
    <t>2.</t>
  </si>
  <si>
    <t>Sarbatoare legala 1.05.2026 - Ziua Muncii</t>
  </si>
  <si>
    <t>3.</t>
  </si>
  <si>
    <t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</si>
</sst>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8]mmmm\ yyyy;@"/>
    <numFmt numFmtId="165" formatCode="00"/>
    <numFmt numFmtId="166" formatCode="[$-418]d\ mmm;@"/>
  </numFmts>
  <fonts count="2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indexed="62"/>
      <name val="Calibri"/>
      <family val="2"/>
    </font>
    <font>
      <b/>
      <sz val="12"/>
      <color indexed="20"/>
      <name val="Calibri"/>
      <family val="2"/>
      <charset val="238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6" fillId="3" borderId="0" applyNumberFormat="0" applyBorder="0" applyAlignment="0" applyProtection="0"/>
    <xf numFmtId="0" fontId="17" fillId="4" borderId="10" applyNumberFormat="0" applyAlignment="0" applyProtection="0"/>
  </cellStyleXfs>
  <cellXfs count="53">
    <xf numFmtId="0" fontId="0" fillId="0" borderId="0" xfId="0"/>
    <xf numFmtId="0" fontId="2" fillId="0" borderId="0" xfId="0" applyFont="1" applyProtection="1"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66" fontId="5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right" vertical="center"/>
      <protection locked="0"/>
    </xf>
    <xf numFmtId="0" fontId="7" fillId="0" borderId="2" xfId="0" applyFont="1" applyBorder="1" applyAlignment="1" applyProtection="1">
      <alignment horizontal="center" vertical="center" shrinkToFit="1"/>
      <protection locked="0"/>
    </xf>
    <xf numFmtId="0" fontId="4" fillId="0" borderId="2" xfId="0" quotePrefix="1" applyFont="1" applyBorder="1" applyAlignment="1" applyProtection="1">
      <alignment horizontal="center"/>
      <protection locked="0"/>
    </xf>
    <xf numFmtId="165" fontId="9" fillId="4" borderId="10" xfId="2" applyNumberFormat="1" applyFont="1" applyAlignment="1" applyProtection="1">
      <alignment horizontal="center" vertical="center"/>
      <protection locked="0"/>
    </xf>
    <xf numFmtId="0" fontId="9" fillId="4" borderId="10" xfId="2" applyFont="1" applyAlignment="1" applyProtection="1">
      <alignment horizontal="center" vertical="center"/>
      <protection locked="0"/>
    </xf>
    <xf numFmtId="0" fontId="10" fillId="3" borderId="1" xfId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right" vertical="center" shrinkToFit="1"/>
      <protection locked="0"/>
    </xf>
    <xf numFmtId="0" fontId="5" fillId="0" borderId="3" xfId="0" applyFont="1" applyBorder="1" applyProtection="1">
      <protection locked="0"/>
    </xf>
    <xf numFmtId="0" fontId="5" fillId="0" borderId="4" xfId="0" quotePrefix="1" applyFont="1" applyBorder="1" applyAlignment="1" applyProtection="1">
      <alignment horizontal="right"/>
      <protection locked="0"/>
    </xf>
    <xf numFmtId="1" fontId="5" fillId="0" borderId="2" xfId="0" applyNumberFormat="1" applyFont="1" applyBorder="1" applyAlignment="1">
      <alignment horizontal="center" vertical="center"/>
    </xf>
    <xf numFmtId="0" fontId="6" fillId="0" borderId="0" xfId="0" applyFont="1" applyProtection="1">
      <protection locked="0"/>
    </xf>
    <xf numFmtId="0" fontId="2" fillId="0" borderId="0" xfId="0" quotePrefix="1" applyFont="1" applyProtection="1">
      <protection locked="0"/>
    </xf>
    <xf numFmtId="0" fontId="2" fillId="0" borderId="0" xfId="0" applyFont="1"/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2" xfId="0" applyFont="1" applyBorder="1" applyAlignment="1" applyProtection="1">
      <alignment horizontal="center" vertical="center" shrinkToFit="1"/>
      <protection locked="0"/>
    </xf>
    <xf numFmtId="0" fontId="5" fillId="0" borderId="5" xfId="0" applyFont="1" applyBorder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166" fontId="5" fillId="0" borderId="2" xfId="0" applyNumberFormat="1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164" fontId="4" fillId="0" borderId="0" xfId="0" applyNumberFormat="1" applyFont="1" applyAlignment="1">
      <alignment horizontal="center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/>
      <protection locked="0"/>
    </xf>
    <xf numFmtId="166" fontId="1" fillId="0" borderId="0" xfId="0" applyNumberFormat="1" applyFont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</cellXfs>
  <cellStyles count="3"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D311-9AEC-4839-90F4-43688FCD8075}">
  <sheetPr>
    <pageSetUpPr fitToPage="1"/>
  </sheetPr>
  <dimension ref="A1:AH33"/>
  <sheetViews>
    <sheetView tabSelected="1" topLeftCell="A9" workbookViewId="0">
      <selection activeCell="G32" sqref="G32"/>
    </sheetView>
  </sheetViews>
  <sheetFormatPr defaultRowHeight="15"/>
  <cols>
    <col min="1" max="1" width="25.7109375" style="18" customWidth="1"/>
    <col min="2" max="2" width="9.140625" style="18"/>
    <col min="3" max="3" width="8.5703125" style="18" bestFit="1" customWidth="1"/>
    <col min="4" max="9" width="9.28515625" style="18" bestFit="1" customWidth="1"/>
    <col min="10" max="10" width="15.7109375" style="18" customWidth="1"/>
    <col min="11" max="11" width="11.7109375" style="18" customWidth="1"/>
    <col min="12" max="12" width="15.7109375" style="18" customWidth="1"/>
    <col min="13" max="13" width="26.7109375" style="18" bestFit="1" customWidth="1"/>
    <col min="14" max="16384" width="9.140625" style="18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2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2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4" spans="1:34" ht="33" customHeight="1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75">
      <c r="A5" s="43">
        <f>primazi+4</f>
        <v>46143</v>
      </c>
      <c r="B5" s="43"/>
      <c r="C5" s="43"/>
      <c r="D5" s="43"/>
      <c r="E5" s="43"/>
      <c r="F5" s="43"/>
      <c r="G5" s="43"/>
      <c r="H5" s="43"/>
      <c r="I5" s="43"/>
      <c r="J5" s="4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.75">
      <c r="A6" s="2"/>
      <c r="B6" s="2"/>
      <c r="C6" s="2"/>
      <c r="D6" s="2"/>
      <c r="E6" s="2"/>
      <c r="F6" s="2"/>
      <c r="G6" s="2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19" customFormat="1" ht="15" customHeight="1">
      <c r="A7" s="44" t="s">
        <v>4</v>
      </c>
      <c r="B7" s="44" t="s">
        <v>5</v>
      </c>
      <c r="C7" s="44" t="s">
        <v>6</v>
      </c>
      <c r="D7" s="44"/>
      <c r="E7" s="44"/>
      <c r="F7" s="44"/>
      <c r="G7" s="44"/>
      <c r="H7" s="44"/>
      <c r="I7" s="44"/>
      <c r="J7" s="44" t="s">
        <v>7</v>
      </c>
      <c r="K7" s="47"/>
      <c r="L7" s="48" t="s">
        <v>8</v>
      </c>
      <c r="M7" s="48"/>
      <c r="N7" s="48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spans="1:34" s="19" customFormat="1" ht="15.75" customHeight="1">
      <c r="A8" s="44"/>
      <c r="B8" s="44"/>
      <c r="C8" s="28">
        <v>46139</v>
      </c>
      <c r="D8" s="4">
        <f t="shared" ref="D8:I8" si="0">C8+1</f>
        <v>46140</v>
      </c>
      <c r="E8" s="4">
        <f t="shared" si="0"/>
        <v>46141</v>
      </c>
      <c r="F8" s="4">
        <f t="shared" si="0"/>
        <v>46142</v>
      </c>
      <c r="G8" s="4">
        <f t="shared" si="0"/>
        <v>46143</v>
      </c>
      <c r="H8" s="4">
        <f t="shared" si="0"/>
        <v>46144</v>
      </c>
      <c r="I8" s="4">
        <f t="shared" si="0"/>
        <v>46145</v>
      </c>
      <c r="J8" s="44"/>
      <c r="K8" s="49"/>
      <c r="L8" s="31" t="s">
        <v>9</v>
      </c>
      <c r="M8" s="5" t="s">
        <v>10</v>
      </c>
      <c r="N8" s="6" t="s">
        <v>11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 ht="15.75">
      <c r="A9" s="35" t="s">
        <v>12</v>
      </c>
      <c r="B9" s="7" t="s">
        <v>13</v>
      </c>
      <c r="C9" s="9"/>
      <c r="D9" s="9"/>
      <c r="E9" s="9"/>
      <c r="F9" s="9"/>
      <c r="G9" s="9"/>
      <c r="H9" s="10" t="s">
        <v>14</v>
      </c>
      <c r="I9" s="10" t="s">
        <v>14</v>
      </c>
      <c r="J9" s="39"/>
      <c r="K9" s="1"/>
      <c r="L9" s="32"/>
      <c r="M9" s="5" t="s">
        <v>15</v>
      </c>
      <c r="N9" s="6" t="s">
        <v>16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5.75">
      <c r="A10" s="50"/>
      <c r="B10" s="7" t="s">
        <v>17</v>
      </c>
      <c r="C10" s="9"/>
      <c r="D10" s="9"/>
      <c r="E10" s="9"/>
      <c r="F10" s="9"/>
      <c r="G10" s="9"/>
      <c r="H10" s="10" t="s">
        <v>14</v>
      </c>
      <c r="I10" s="10" t="s">
        <v>14</v>
      </c>
      <c r="J10" s="40"/>
      <c r="K10" s="1"/>
      <c r="L10" s="32"/>
      <c r="M10" s="5" t="s">
        <v>18</v>
      </c>
      <c r="N10" s="6" t="s">
        <v>19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5.75">
      <c r="A11" s="50"/>
      <c r="B11" s="7" t="s">
        <v>20</v>
      </c>
      <c r="C11" s="9"/>
      <c r="D11" s="9"/>
      <c r="E11" s="9"/>
      <c r="F11" s="9"/>
      <c r="G11" s="9"/>
      <c r="H11" s="10" t="s">
        <v>14</v>
      </c>
      <c r="I11" s="10" t="s">
        <v>14</v>
      </c>
      <c r="J11" s="40"/>
      <c r="K11" s="1"/>
      <c r="L11" s="32"/>
      <c r="M11" s="5" t="s">
        <v>21</v>
      </c>
      <c r="N11" s="6" t="s">
        <v>22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5.75">
      <c r="A12" s="50"/>
      <c r="B12" s="7" t="s">
        <v>23</v>
      </c>
      <c r="C12" s="9"/>
      <c r="D12" s="9"/>
      <c r="E12" s="9"/>
      <c r="F12" s="9"/>
      <c r="G12" s="9"/>
      <c r="H12" s="10" t="s">
        <v>14</v>
      </c>
      <c r="I12" s="10" t="s">
        <v>14</v>
      </c>
      <c r="J12" s="40"/>
      <c r="K12" s="1"/>
      <c r="L12" s="32"/>
      <c r="M12" s="11" t="s">
        <v>24</v>
      </c>
      <c r="N12" s="22" t="s">
        <v>25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5.75">
      <c r="A13" s="50"/>
      <c r="B13" s="7" t="s">
        <v>26</v>
      </c>
      <c r="C13" s="9"/>
      <c r="D13" s="9"/>
      <c r="E13" s="9"/>
      <c r="F13" s="9"/>
      <c r="G13" s="9"/>
      <c r="H13" s="10" t="s">
        <v>14</v>
      </c>
      <c r="I13" s="10" t="s">
        <v>14</v>
      </c>
      <c r="J13" s="40"/>
      <c r="K13" s="1"/>
      <c r="L13" s="32"/>
      <c r="M13" s="11" t="s">
        <v>27</v>
      </c>
      <c r="N13" s="6" t="s">
        <v>28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.75">
      <c r="A14" s="50"/>
      <c r="B14" s="7" t="s">
        <v>29</v>
      </c>
      <c r="C14" s="9"/>
      <c r="D14" s="9"/>
      <c r="E14" s="9"/>
      <c r="F14" s="9"/>
      <c r="G14" s="9"/>
      <c r="H14" s="10" t="s">
        <v>14</v>
      </c>
      <c r="I14" s="10" t="s">
        <v>14</v>
      </c>
      <c r="J14" s="40"/>
      <c r="K14" s="1"/>
      <c r="L14" s="32"/>
      <c r="M14" s="11" t="s">
        <v>30</v>
      </c>
      <c r="N14" s="6" t="s">
        <v>31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75">
      <c r="A15" s="50"/>
      <c r="B15" s="7" t="s">
        <v>32</v>
      </c>
      <c r="C15" s="9"/>
      <c r="D15" s="9"/>
      <c r="E15" s="9"/>
      <c r="F15" s="9"/>
      <c r="G15" s="9"/>
      <c r="H15" s="10" t="s">
        <v>14</v>
      </c>
      <c r="I15" s="10" t="s">
        <v>14</v>
      </c>
      <c r="J15" s="40"/>
      <c r="K15" s="1"/>
      <c r="L15" s="32"/>
      <c r="M15" s="11" t="s">
        <v>33</v>
      </c>
      <c r="N15" s="22" t="s">
        <v>34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.75" customHeight="1">
      <c r="A16" s="50"/>
      <c r="B16" s="7" t="s">
        <v>35</v>
      </c>
      <c r="C16" s="9"/>
      <c r="D16" s="9"/>
      <c r="E16" s="9"/>
      <c r="F16" s="9"/>
      <c r="G16" s="9"/>
      <c r="H16" s="10" t="s">
        <v>14</v>
      </c>
      <c r="I16" s="10" t="s">
        <v>14</v>
      </c>
      <c r="J16" s="40"/>
      <c r="K16" s="1"/>
      <c r="L16" s="32"/>
      <c r="M16" s="11" t="s">
        <v>36</v>
      </c>
      <c r="N16" s="22" t="s">
        <v>37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16" ht="15.75">
      <c r="A17" s="50"/>
      <c r="B17" s="7" t="s">
        <v>38</v>
      </c>
      <c r="C17" s="9"/>
      <c r="D17" s="9"/>
      <c r="E17" s="9"/>
      <c r="F17" s="9"/>
      <c r="G17" s="9"/>
      <c r="H17" s="10" t="s">
        <v>14</v>
      </c>
      <c r="I17" s="10" t="s">
        <v>14</v>
      </c>
      <c r="J17" s="40"/>
      <c r="K17" s="1"/>
      <c r="L17" s="33"/>
      <c r="M17" s="11" t="s">
        <v>39</v>
      </c>
      <c r="N17" s="6" t="s">
        <v>14</v>
      </c>
      <c r="O17" s="1"/>
      <c r="P17" s="1"/>
    </row>
    <row r="18" spans="1:16" ht="15.75">
      <c r="A18" s="50"/>
      <c r="B18" s="7" t="s">
        <v>40</v>
      </c>
      <c r="C18" s="9"/>
      <c r="D18" s="9"/>
      <c r="E18" s="9"/>
      <c r="F18" s="9"/>
      <c r="G18" s="9"/>
      <c r="H18" s="10" t="s">
        <v>14</v>
      </c>
      <c r="I18" s="10" t="s">
        <v>14</v>
      </c>
      <c r="J18" s="40"/>
      <c r="K18" s="1"/>
      <c r="L18" s="31" t="s">
        <v>41</v>
      </c>
      <c r="M18" s="5" t="s">
        <v>42</v>
      </c>
      <c r="N18" s="6" t="s">
        <v>43</v>
      </c>
      <c r="O18" s="1"/>
      <c r="P18" s="1"/>
    </row>
    <row r="19" spans="1:16" ht="15.75">
      <c r="A19" s="50"/>
      <c r="B19" s="7" t="s">
        <v>44</v>
      </c>
      <c r="C19" s="9"/>
      <c r="D19" s="9"/>
      <c r="E19" s="9"/>
      <c r="F19" s="9"/>
      <c r="G19" s="9"/>
      <c r="H19" s="10" t="s">
        <v>14</v>
      </c>
      <c r="I19" s="10" t="s">
        <v>14</v>
      </c>
      <c r="J19" s="40"/>
      <c r="K19" s="1"/>
      <c r="L19" s="32"/>
      <c r="M19" s="5" t="s">
        <v>45</v>
      </c>
      <c r="N19" s="6" t="s">
        <v>46</v>
      </c>
      <c r="O19" s="1"/>
      <c r="P19" s="1"/>
    </row>
    <row r="20" spans="1:16" ht="15.75">
      <c r="A20" s="50"/>
      <c r="B20" s="7" t="s">
        <v>47</v>
      </c>
      <c r="C20" s="9"/>
      <c r="D20" s="9"/>
      <c r="E20" s="9"/>
      <c r="F20" s="9"/>
      <c r="G20" s="9"/>
      <c r="H20" s="10" t="s">
        <v>14</v>
      </c>
      <c r="I20" s="10" t="s">
        <v>14</v>
      </c>
      <c r="J20" s="40"/>
      <c r="K20" s="1"/>
      <c r="L20" s="32"/>
      <c r="M20" s="5" t="s">
        <v>48</v>
      </c>
      <c r="N20" s="6" t="s">
        <v>49</v>
      </c>
      <c r="O20" s="1"/>
      <c r="P20" s="1"/>
    </row>
    <row r="21" spans="1:16" ht="15.75">
      <c r="A21" s="50"/>
      <c r="B21" s="7" t="s">
        <v>50</v>
      </c>
      <c r="C21" s="9"/>
      <c r="D21" s="9"/>
      <c r="E21" s="9"/>
      <c r="F21" s="9"/>
      <c r="G21" s="9"/>
      <c r="H21" s="10" t="s">
        <v>14</v>
      </c>
      <c r="I21" s="10" t="s">
        <v>14</v>
      </c>
      <c r="J21" s="40"/>
      <c r="K21" s="1"/>
      <c r="L21" s="32"/>
      <c r="M21" s="5" t="s">
        <v>51</v>
      </c>
      <c r="N21" s="6" t="s">
        <v>52</v>
      </c>
      <c r="O21" s="1"/>
      <c r="P21" s="1"/>
    </row>
    <row r="22" spans="1:16" ht="15.75">
      <c r="A22" s="51"/>
      <c r="B22" s="7" t="s">
        <v>53</v>
      </c>
      <c r="C22" s="9" t="s">
        <v>14</v>
      </c>
      <c r="D22" s="9" t="s">
        <v>14</v>
      </c>
      <c r="E22" s="9" t="s">
        <v>14</v>
      </c>
      <c r="F22" s="9" t="s">
        <v>14</v>
      </c>
      <c r="G22" s="9"/>
      <c r="H22" s="10" t="s">
        <v>14</v>
      </c>
      <c r="I22" s="10" t="s">
        <v>14</v>
      </c>
      <c r="J22" s="41"/>
      <c r="K22" s="1"/>
      <c r="L22" s="32"/>
      <c r="M22" s="11" t="s">
        <v>54</v>
      </c>
      <c r="N22" s="22" t="s">
        <v>55</v>
      </c>
      <c r="O22" s="1"/>
      <c r="P22" s="1"/>
    </row>
    <row r="23" spans="1:16" s="20" customFormat="1" ht="15.75">
      <c r="A23" s="23"/>
      <c r="B23" s="13" t="s">
        <v>56</v>
      </c>
      <c r="C23" s="14">
        <f>COUNTIF(C9:C22, "A I*")+COUNTIF(C9:C22, "B")+COUNTIF(C9:C22, "C")+COUNTIF(C9:C22, "D*")</f>
        <v>0</v>
      </c>
      <c r="D23" s="14">
        <f t="shared" ref="D23:I23" si="1">COUNTIF(D9:D22, "A I*")+COUNTIF(D9:D22, "B")+COUNTIF(D9:D22, "C")+COUNTIF(D9:D22, "D*")</f>
        <v>0</v>
      </c>
      <c r="E23" s="14">
        <f t="shared" si="1"/>
        <v>0</v>
      </c>
      <c r="F23" s="14">
        <f t="shared" si="1"/>
        <v>0</v>
      </c>
      <c r="G23" s="14">
        <f t="shared" si="1"/>
        <v>0</v>
      </c>
      <c r="H23" s="14">
        <f t="shared" si="1"/>
        <v>0</v>
      </c>
      <c r="I23" s="14">
        <f t="shared" si="1"/>
        <v>0</v>
      </c>
      <c r="J23" s="14">
        <f>SUM(C23:I23)</f>
        <v>0</v>
      </c>
      <c r="K23" s="52"/>
      <c r="L23" s="33"/>
      <c r="M23" s="11" t="s">
        <v>57</v>
      </c>
      <c r="N23" s="6" t="s">
        <v>58</v>
      </c>
      <c r="O23" s="52"/>
      <c r="P23" s="52"/>
    </row>
    <row r="24" spans="1:16">
      <c r="A24" s="1"/>
      <c r="B24" s="1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24" t="s">
        <v>59</v>
      </c>
      <c r="B25" s="25" t="s">
        <v>60</v>
      </c>
      <c r="C25" s="26" t="s">
        <v>61</v>
      </c>
      <c r="D25" s="27"/>
      <c r="E25" s="27"/>
      <c r="F25" s="27"/>
      <c r="G25" s="27"/>
      <c r="H25" s="27"/>
      <c r="I25" s="27"/>
      <c r="J25" s="27"/>
      <c r="K25" s="27"/>
      <c r="L25" s="1"/>
      <c r="M25" s="1"/>
      <c r="N25" s="1"/>
      <c r="O25" s="1"/>
      <c r="P25" s="1"/>
    </row>
    <row r="26" spans="1:16">
      <c r="A26" s="1"/>
      <c r="B26" s="29" t="s">
        <v>62</v>
      </c>
      <c r="C26" s="34" t="s">
        <v>63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</row>
    <row r="27" spans="1:16">
      <c r="A27" s="1"/>
      <c r="B27" s="30" t="s">
        <v>64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30" t="s">
        <v>65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6">
      <c r="A29" s="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2">
      <c r="B33" s="16"/>
    </row>
  </sheetData>
  <sheetProtection sheet="1" objects="1" scenarios="1"/>
  <mergeCells count="13">
    <mergeCell ref="A9:A22"/>
    <mergeCell ref="A4:J4"/>
    <mergeCell ref="A5:J5"/>
    <mergeCell ref="A7:A8"/>
    <mergeCell ref="B7:B8"/>
    <mergeCell ref="C7:I7"/>
    <mergeCell ref="J7:J8"/>
    <mergeCell ref="J9:J22"/>
    <mergeCell ref="L8:L17"/>
    <mergeCell ref="L18:L23"/>
    <mergeCell ref="C26:P26"/>
    <mergeCell ref="C28:P28"/>
    <mergeCell ref="L7:N7"/>
  </mergeCells>
  <phoneticPr fontId="13" type="noConversion"/>
  <dataValidations count="1">
    <dataValidation type="list" allowBlank="1" showInputMessage="1" showErrorMessage="1" sqref="C9:I22" xr:uid="{2ADC1076-6328-4105-9DE9-EF54CCC9B1A8}">
      <formula1>activități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B13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F09C-44F7-42CC-9517-7F6FCE659EE9}">
  <sheetPr>
    <pageSetUpPr fitToPage="1"/>
  </sheetPr>
  <dimension ref="A1:AH33"/>
  <sheetViews>
    <sheetView topLeftCell="A4" workbookViewId="0">
      <selection activeCell="F20" sqref="F20"/>
    </sheetView>
  </sheetViews>
  <sheetFormatPr defaultRowHeight="15"/>
  <cols>
    <col min="1" max="1" width="25.7109375" style="1" customWidth="1"/>
    <col min="2" max="2" width="9.140625" style="1"/>
    <col min="3" max="3" width="8.5703125" style="1" bestFit="1" customWidth="1"/>
    <col min="4" max="9" width="9.28515625" style="1" bestFit="1" customWidth="1"/>
    <col min="10" max="10" width="15.7109375" style="1" customWidth="1"/>
    <col min="11" max="11" width="11.7109375" style="1" customWidth="1"/>
    <col min="12" max="12" width="15.7109375" style="1" customWidth="1"/>
    <col min="13" max="13" width="26.7109375" style="1" bestFit="1" customWidth="1"/>
    <col min="14" max="16384" width="9.140625" style="1"/>
  </cols>
  <sheetData>
    <row r="1" spans="1:34">
      <c r="A1" s="17" t="str">
        <f>upt</f>
        <v>Universitatea Politehnica Timișoara</v>
      </c>
    </row>
    <row r="2" spans="1:34">
      <c r="A2" s="17" t="str">
        <f>dep</f>
        <v>Departamentul Calculatoare si Tehnologia Informatiei</v>
      </c>
    </row>
    <row r="4" spans="1:34" ht="33" customHeight="1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</row>
    <row r="5" spans="1:34" ht="15.75">
      <c r="A5" s="43">
        <f>'TCMDD-săpt-1'!$A$5</f>
        <v>46143</v>
      </c>
      <c r="B5" s="43"/>
      <c r="C5" s="43"/>
      <c r="D5" s="43"/>
      <c r="E5" s="43"/>
      <c r="F5" s="43"/>
      <c r="G5" s="43"/>
      <c r="H5" s="43"/>
      <c r="I5" s="43"/>
      <c r="J5" s="43"/>
    </row>
    <row r="6" spans="1:34" ht="15.75">
      <c r="A6" s="2"/>
      <c r="B6" s="2"/>
      <c r="C6" s="2"/>
      <c r="D6" s="2"/>
      <c r="E6" s="2"/>
      <c r="F6" s="2"/>
      <c r="G6" s="2"/>
      <c r="H6" s="2"/>
      <c r="I6" s="2"/>
      <c r="J6" s="2"/>
    </row>
    <row r="7" spans="1:34" s="3" customFormat="1" ht="15" customHeight="1">
      <c r="A7" s="44" t="s">
        <v>4</v>
      </c>
      <c r="B7" s="44" t="s">
        <v>5</v>
      </c>
      <c r="C7" s="44" t="s">
        <v>6</v>
      </c>
      <c r="D7" s="44"/>
      <c r="E7" s="44"/>
      <c r="F7" s="44"/>
      <c r="G7" s="44"/>
      <c r="H7" s="44"/>
      <c r="I7" s="44"/>
      <c r="J7" s="44" t="s">
        <v>7</v>
      </c>
      <c r="K7" s="47"/>
      <c r="L7" s="48" t="s">
        <v>8</v>
      </c>
      <c r="M7" s="48"/>
      <c r="N7" s="48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spans="1:34" s="3" customFormat="1" ht="15.75" customHeight="1">
      <c r="A8" s="44"/>
      <c r="B8" s="44"/>
      <c r="C8" s="4">
        <f>primazi+7</f>
        <v>46146</v>
      </c>
      <c r="D8" s="4">
        <f t="shared" ref="D8:I8" si="0">C8+1</f>
        <v>46147</v>
      </c>
      <c r="E8" s="4">
        <f t="shared" si="0"/>
        <v>46148</v>
      </c>
      <c r="F8" s="4">
        <f t="shared" si="0"/>
        <v>46149</v>
      </c>
      <c r="G8" s="4">
        <f t="shared" si="0"/>
        <v>46150</v>
      </c>
      <c r="H8" s="4">
        <f t="shared" si="0"/>
        <v>46151</v>
      </c>
      <c r="I8" s="4">
        <f t="shared" si="0"/>
        <v>46152</v>
      </c>
      <c r="J8" s="44"/>
      <c r="K8" s="49"/>
      <c r="L8" s="31" t="s">
        <v>9</v>
      </c>
      <c r="M8" s="5" t="s">
        <v>10</v>
      </c>
      <c r="N8" s="6" t="s">
        <v>11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 ht="15.75">
      <c r="A9" s="36" t="str">
        <f>titular</f>
        <v>Ancusa Versavia</v>
      </c>
      <c r="B9" s="7" t="s">
        <v>13</v>
      </c>
      <c r="C9" s="8" t="s">
        <v>28</v>
      </c>
      <c r="D9" s="8" t="s">
        <v>28</v>
      </c>
      <c r="E9" s="9" t="s">
        <v>28</v>
      </c>
      <c r="F9" s="9" t="s">
        <v>28</v>
      </c>
      <c r="G9" s="9" t="s">
        <v>28</v>
      </c>
      <c r="H9" s="10" t="s">
        <v>14</v>
      </c>
      <c r="I9" s="10" t="s">
        <v>14</v>
      </c>
      <c r="J9" s="39"/>
      <c r="L9" s="32"/>
      <c r="M9" s="5" t="s">
        <v>15</v>
      </c>
      <c r="N9" s="6" t="s">
        <v>16</v>
      </c>
    </row>
    <row r="10" spans="1:34" ht="15.75">
      <c r="A10" s="37"/>
      <c r="B10" s="7" t="s">
        <v>17</v>
      </c>
      <c r="C10" s="8" t="s">
        <v>31</v>
      </c>
      <c r="D10" s="8" t="s">
        <v>31</v>
      </c>
      <c r="E10" s="9" t="s">
        <v>31</v>
      </c>
      <c r="F10" s="9" t="s">
        <v>31</v>
      </c>
      <c r="G10" s="9" t="s">
        <v>31</v>
      </c>
      <c r="H10" s="10" t="s">
        <v>14</v>
      </c>
      <c r="I10" s="10" t="s">
        <v>14</v>
      </c>
      <c r="J10" s="40"/>
      <c r="L10" s="32"/>
      <c r="M10" s="5" t="s">
        <v>18</v>
      </c>
      <c r="N10" s="6" t="s">
        <v>19</v>
      </c>
    </row>
    <row r="11" spans="1:34" ht="15.75">
      <c r="A11" s="37"/>
      <c r="B11" s="7" t="s">
        <v>20</v>
      </c>
      <c r="C11" s="8" t="s">
        <v>28</v>
      </c>
      <c r="D11" s="8" t="s">
        <v>28</v>
      </c>
      <c r="E11" s="9" t="s">
        <v>28</v>
      </c>
      <c r="F11" s="9" t="s">
        <v>28</v>
      </c>
      <c r="G11" s="9" t="s">
        <v>28</v>
      </c>
      <c r="H11" s="10" t="s">
        <v>14</v>
      </c>
      <c r="I11" s="10" t="s">
        <v>14</v>
      </c>
      <c r="J11" s="40"/>
      <c r="L11" s="32"/>
      <c r="M11" s="5" t="s">
        <v>21</v>
      </c>
      <c r="N11" s="6" t="s">
        <v>22</v>
      </c>
    </row>
    <row r="12" spans="1:34" ht="15.75">
      <c r="A12" s="37"/>
      <c r="B12" s="7" t="s">
        <v>23</v>
      </c>
      <c r="C12" s="8" t="s">
        <v>31</v>
      </c>
      <c r="D12" s="8" t="s">
        <v>31</v>
      </c>
      <c r="E12" s="9" t="s">
        <v>31</v>
      </c>
      <c r="F12" s="9" t="s">
        <v>31</v>
      </c>
      <c r="G12" s="9" t="s">
        <v>31</v>
      </c>
      <c r="H12" s="10" t="s">
        <v>14</v>
      </c>
      <c r="I12" s="10" t="s">
        <v>14</v>
      </c>
      <c r="J12" s="40"/>
      <c r="L12" s="32"/>
      <c r="M12" s="11" t="s">
        <v>24</v>
      </c>
      <c r="N12" s="22" t="s">
        <v>25</v>
      </c>
    </row>
    <row r="13" spans="1:34" ht="15.75">
      <c r="A13" s="37"/>
      <c r="B13" s="7" t="s">
        <v>26</v>
      </c>
      <c r="C13" s="8" t="s">
        <v>28</v>
      </c>
      <c r="D13" s="8" t="s">
        <v>28</v>
      </c>
      <c r="E13" s="9" t="s">
        <v>28</v>
      </c>
      <c r="F13" s="9" t="s">
        <v>28</v>
      </c>
      <c r="G13" s="9" t="s">
        <v>28</v>
      </c>
      <c r="H13" s="10" t="s">
        <v>14</v>
      </c>
      <c r="I13" s="10" t="s">
        <v>14</v>
      </c>
      <c r="J13" s="40"/>
      <c r="L13" s="32"/>
      <c r="M13" s="11" t="s">
        <v>27</v>
      </c>
      <c r="N13" s="6" t="s">
        <v>28</v>
      </c>
    </row>
    <row r="14" spans="1:34" ht="15.75">
      <c r="A14" s="37"/>
      <c r="B14" s="7" t="s">
        <v>29</v>
      </c>
      <c r="C14" s="8" t="s">
        <v>31</v>
      </c>
      <c r="D14" s="8" t="s">
        <v>31</v>
      </c>
      <c r="E14" s="9" t="s">
        <v>31</v>
      </c>
      <c r="F14" s="9" t="s">
        <v>31</v>
      </c>
      <c r="G14" s="9" t="s">
        <v>31</v>
      </c>
      <c r="H14" s="10" t="s">
        <v>14</v>
      </c>
      <c r="I14" s="10" t="s">
        <v>14</v>
      </c>
      <c r="J14" s="40"/>
      <c r="L14" s="32"/>
      <c r="M14" s="11" t="s">
        <v>30</v>
      </c>
      <c r="N14" s="6" t="s">
        <v>31</v>
      </c>
    </row>
    <row r="15" spans="1:34" ht="15.75">
      <c r="A15" s="37"/>
      <c r="B15" s="7" t="s">
        <v>32</v>
      </c>
      <c r="C15" s="8" t="s">
        <v>28</v>
      </c>
      <c r="D15" s="8" t="s">
        <v>28</v>
      </c>
      <c r="E15" s="9" t="s">
        <v>28</v>
      </c>
      <c r="F15" s="9" t="s">
        <v>28</v>
      </c>
      <c r="G15" s="9" t="s">
        <v>25</v>
      </c>
      <c r="H15" s="10" t="s">
        <v>14</v>
      </c>
      <c r="I15" s="10" t="s">
        <v>14</v>
      </c>
      <c r="J15" s="40"/>
      <c r="L15" s="32"/>
      <c r="M15" s="11" t="s">
        <v>33</v>
      </c>
      <c r="N15" s="22" t="s">
        <v>34</v>
      </c>
    </row>
    <row r="16" spans="1:34" ht="15.75" customHeight="1">
      <c r="A16" s="37"/>
      <c r="B16" s="7" t="s">
        <v>35</v>
      </c>
      <c r="C16" s="8" t="s">
        <v>31</v>
      </c>
      <c r="D16" s="8" t="s">
        <v>31</v>
      </c>
      <c r="E16" s="9" t="s">
        <v>31</v>
      </c>
      <c r="F16" s="9" t="s">
        <v>31</v>
      </c>
      <c r="G16" s="9" t="s">
        <v>25</v>
      </c>
      <c r="H16" s="10" t="s">
        <v>14</v>
      </c>
      <c r="I16" s="10" t="s">
        <v>14</v>
      </c>
      <c r="J16" s="40"/>
      <c r="L16" s="32"/>
      <c r="M16" s="11" t="s">
        <v>36</v>
      </c>
      <c r="N16" s="22" t="s">
        <v>37</v>
      </c>
    </row>
    <row r="17" spans="1:14" ht="15.75">
      <c r="A17" s="37"/>
      <c r="B17" s="7" t="s">
        <v>38</v>
      </c>
      <c r="C17" s="8"/>
      <c r="D17" s="8"/>
      <c r="E17" s="9"/>
      <c r="F17" s="9"/>
      <c r="G17" s="9"/>
      <c r="H17" s="10" t="s">
        <v>14</v>
      </c>
      <c r="I17" s="10" t="s">
        <v>14</v>
      </c>
      <c r="J17" s="40"/>
      <c r="L17" s="33"/>
      <c r="M17" s="11" t="s">
        <v>39</v>
      </c>
      <c r="N17" s="6" t="s">
        <v>14</v>
      </c>
    </row>
    <row r="18" spans="1:14" ht="15.75">
      <c r="A18" s="37"/>
      <c r="B18" s="7" t="s">
        <v>40</v>
      </c>
      <c r="C18" s="8"/>
      <c r="D18" s="8"/>
      <c r="E18" s="9"/>
      <c r="F18" s="9"/>
      <c r="G18" s="9"/>
      <c r="H18" s="10" t="s">
        <v>14</v>
      </c>
      <c r="I18" s="10" t="s">
        <v>14</v>
      </c>
      <c r="J18" s="40"/>
      <c r="L18" s="31" t="s">
        <v>41</v>
      </c>
      <c r="M18" s="5" t="s">
        <v>42</v>
      </c>
      <c r="N18" s="6" t="s">
        <v>43</v>
      </c>
    </row>
    <row r="19" spans="1:14" ht="15.75">
      <c r="A19" s="37"/>
      <c r="B19" s="7" t="s">
        <v>44</v>
      </c>
      <c r="C19" s="8"/>
      <c r="D19" s="8"/>
      <c r="E19" s="9"/>
      <c r="F19" s="9"/>
      <c r="G19" s="9"/>
      <c r="H19" s="10" t="s">
        <v>14</v>
      </c>
      <c r="I19" s="10" t="s">
        <v>14</v>
      </c>
      <c r="J19" s="40"/>
      <c r="L19" s="32"/>
      <c r="M19" s="5" t="s">
        <v>45</v>
      </c>
      <c r="N19" s="6" t="s">
        <v>46</v>
      </c>
    </row>
    <row r="20" spans="1:14" ht="15.75">
      <c r="A20" s="37"/>
      <c r="B20" s="7" t="s">
        <v>47</v>
      </c>
      <c r="C20" s="8"/>
      <c r="D20" s="8"/>
      <c r="E20" s="9"/>
      <c r="F20" s="9"/>
      <c r="G20" s="9"/>
      <c r="H20" s="10" t="s">
        <v>14</v>
      </c>
      <c r="I20" s="10" t="s">
        <v>14</v>
      </c>
      <c r="J20" s="40"/>
      <c r="L20" s="32"/>
      <c r="M20" s="5" t="s">
        <v>48</v>
      </c>
      <c r="N20" s="6" t="s">
        <v>49</v>
      </c>
    </row>
    <row r="21" spans="1:14" ht="15.75">
      <c r="A21" s="37"/>
      <c r="B21" s="7" t="s">
        <v>50</v>
      </c>
      <c r="C21" s="8"/>
      <c r="D21" s="8"/>
      <c r="E21" s="9"/>
      <c r="F21" s="9"/>
      <c r="G21" s="9"/>
      <c r="H21" s="10" t="s">
        <v>14</v>
      </c>
      <c r="I21" s="10" t="s">
        <v>14</v>
      </c>
      <c r="J21" s="40"/>
      <c r="L21" s="32"/>
      <c r="M21" s="5" t="s">
        <v>51</v>
      </c>
      <c r="N21" s="6" t="s">
        <v>52</v>
      </c>
    </row>
    <row r="22" spans="1:14" ht="15.75">
      <c r="A22" s="38"/>
      <c r="B22" s="7" t="s">
        <v>53</v>
      </c>
      <c r="C22" s="8"/>
      <c r="D22" s="8"/>
      <c r="E22" s="9"/>
      <c r="F22" s="9"/>
      <c r="G22" s="9"/>
      <c r="H22" s="10" t="s">
        <v>14</v>
      </c>
      <c r="I22" s="10" t="s">
        <v>14</v>
      </c>
      <c r="J22" s="41"/>
      <c r="L22" s="32"/>
      <c r="M22" s="11" t="s">
        <v>54</v>
      </c>
      <c r="N22" s="22" t="s">
        <v>55</v>
      </c>
    </row>
    <row r="23" spans="1:14" s="15" customFormat="1" ht="15.75">
      <c r="A23" s="23"/>
      <c r="B23" s="13" t="s">
        <v>56</v>
      </c>
      <c r="C23" s="14">
        <f>COUNTIF(C9:C22, "A I*")+COUNTIF(C9:C22, "B")+COUNTIF(C9:C22, "C")+COUNTIF(C9:C22, "D*")</f>
        <v>8</v>
      </c>
      <c r="D23" s="14">
        <f t="shared" ref="D23:I23" si="1">COUNTIF(D9:D22, "A I*")+COUNTIF(D9:D22, "B")+COUNTIF(D9:D22, "C")+COUNTIF(D9:D22, "D*")</f>
        <v>8</v>
      </c>
      <c r="E23" s="14">
        <f t="shared" si="1"/>
        <v>8</v>
      </c>
      <c r="F23" s="14">
        <f t="shared" si="1"/>
        <v>8</v>
      </c>
      <c r="G23" s="14">
        <f t="shared" si="1"/>
        <v>8</v>
      </c>
      <c r="H23" s="14">
        <f t="shared" si="1"/>
        <v>0</v>
      </c>
      <c r="I23" s="14">
        <f t="shared" si="1"/>
        <v>0</v>
      </c>
      <c r="J23" s="14">
        <f>SUM(C23:I23)</f>
        <v>40</v>
      </c>
      <c r="K23" s="52"/>
      <c r="L23" s="33"/>
      <c r="M23" s="11" t="s">
        <v>57</v>
      </c>
      <c r="N23" s="6" t="s">
        <v>58</v>
      </c>
    </row>
    <row r="24" spans="1:14">
      <c r="B24" s="16"/>
    </row>
    <row r="25" spans="1:14">
      <c r="B25" s="16"/>
    </row>
    <row r="26" spans="1:14">
      <c r="B26" s="16"/>
    </row>
    <row r="27" spans="1:14">
      <c r="B27" s="16"/>
    </row>
    <row r="28" spans="1:14">
      <c r="B28" s="16"/>
    </row>
    <row r="29" spans="1:14">
      <c r="B29" s="16"/>
    </row>
    <row r="30" spans="1:14">
      <c r="B30" s="16"/>
    </row>
    <row r="31" spans="1:14">
      <c r="B31" s="16"/>
    </row>
    <row r="32" spans="1:14">
      <c r="B32" s="16"/>
    </row>
    <row r="33" spans="2:2">
      <c r="B33" s="16"/>
    </row>
  </sheetData>
  <sheetProtection sheet="1" objects="1" scenarios="1"/>
  <mergeCells count="11">
    <mergeCell ref="A4:J4"/>
    <mergeCell ref="A5:J5"/>
    <mergeCell ref="A7:A8"/>
    <mergeCell ref="B7:B8"/>
    <mergeCell ref="C7:I7"/>
    <mergeCell ref="J7:J8"/>
    <mergeCell ref="L7:N7"/>
    <mergeCell ref="A9:A22"/>
    <mergeCell ref="J9:J22"/>
    <mergeCell ref="L8:L17"/>
    <mergeCell ref="L18:L23"/>
  </mergeCells>
  <phoneticPr fontId="13" type="noConversion"/>
  <dataValidations count="1">
    <dataValidation type="list" allowBlank="1" showInputMessage="1" showErrorMessage="1" sqref="C9:I22" xr:uid="{9CC500D7-4D5D-4DD9-A379-E86DEB4C9498}">
      <formula1>activități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B1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71DC-7573-422E-9564-130952A38890}">
  <sheetPr>
    <pageSetUpPr fitToPage="1"/>
  </sheetPr>
  <dimension ref="A1:AH33"/>
  <sheetViews>
    <sheetView workbookViewId="0">
      <selection activeCell="F16" sqref="F16"/>
    </sheetView>
  </sheetViews>
  <sheetFormatPr defaultRowHeight="15"/>
  <cols>
    <col min="1" max="1" width="25.7109375" style="1" customWidth="1"/>
    <col min="2" max="2" width="9.140625" style="1"/>
    <col min="3" max="3" width="8.5703125" style="1" bestFit="1" customWidth="1"/>
    <col min="4" max="9" width="9.28515625" style="1" bestFit="1" customWidth="1"/>
    <col min="10" max="10" width="15.7109375" style="1" customWidth="1"/>
    <col min="11" max="11" width="11.7109375" style="1" customWidth="1"/>
    <col min="12" max="12" width="15.7109375" style="1" customWidth="1"/>
    <col min="13" max="13" width="26.7109375" style="1" bestFit="1" customWidth="1"/>
    <col min="14" max="16384" width="9.140625" style="1"/>
  </cols>
  <sheetData>
    <row r="1" spans="1:34">
      <c r="A1" s="17" t="str">
        <f>upt</f>
        <v>Universitatea Politehnica Timișoara</v>
      </c>
    </row>
    <row r="2" spans="1:34">
      <c r="A2" s="17" t="str">
        <f>dep</f>
        <v>Departamentul Calculatoare si Tehnologia Informatiei</v>
      </c>
    </row>
    <row r="4" spans="1:34" ht="33" customHeight="1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</row>
    <row r="5" spans="1:34" ht="15.75">
      <c r="A5" s="43">
        <f>'TCMDD-săpt-1'!$A$5</f>
        <v>46143</v>
      </c>
      <c r="B5" s="43"/>
      <c r="C5" s="43"/>
      <c r="D5" s="43"/>
      <c r="E5" s="43"/>
      <c r="F5" s="43"/>
      <c r="G5" s="43"/>
      <c r="H5" s="43"/>
      <c r="I5" s="43"/>
      <c r="J5" s="43"/>
    </row>
    <row r="6" spans="1:34" ht="15.75">
      <c r="A6" s="2"/>
      <c r="B6" s="2"/>
      <c r="C6" s="2"/>
      <c r="D6" s="2"/>
      <c r="E6" s="2"/>
      <c r="F6" s="2"/>
      <c r="G6" s="2"/>
      <c r="H6" s="2"/>
      <c r="I6" s="2"/>
      <c r="J6" s="2"/>
    </row>
    <row r="7" spans="1:34" s="3" customFormat="1" ht="15" customHeight="1">
      <c r="A7" s="44" t="s">
        <v>4</v>
      </c>
      <c r="B7" s="44" t="s">
        <v>5</v>
      </c>
      <c r="C7" s="44" t="s">
        <v>6</v>
      </c>
      <c r="D7" s="44"/>
      <c r="E7" s="44"/>
      <c r="F7" s="44"/>
      <c r="G7" s="44"/>
      <c r="H7" s="44"/>
      <c r="I7" s="44"/>
      <c r="J7" s="44" t="s">
        <v>7</v>
      </c>
      <c r="K7" s="47"/>
      <c r="L7" s="48" t="s">
        <v>8</v>
      </c>
      <c r="M7" s="48"/>
      <c r="N7" s="48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spans="1:34" s="3" customFormat="1" ht="15.75" customHeight="1">
      <c r="A8" s="44"/>
      <c r="B8" s="44"/>
      <c r="C8" s="4">
        <f>primazi+7*2</f>
        <v>46153</v>
      </c>
      <c r="D8" s="4">
        <f t="shared" ref="D8:I8" si="0">C8+1</f>
        <v>46154</v>
      </c>
      <c r="E8" s="4">
        <f t="shared" si="0"/>
        <v>46155</v>
      </c>
      <c r="F8" s="4">
        <f t="shared" si="0"/>
        <v>46156</v>
      </c>
      <c r="G8" s="4">
        <f t="shared" si="0"/>
        <v>46157</v>
      </c>
      <c r="H8" s="4">
        <f t="shared" si="0"/>
        <v>46158</v>
      </c>
      <c r="I8" s="4">
        <f t="shared" si="0"/>
        <v>46159</v>
      </c>
      <c r="J8" s="44"/>
      <c r="K8" s="49"/>
      <c r="L8" s="31" t="s">
        <v>9</v>
      </c>
      <c r="M8" s="5" t="s">
        <v>10</v>
      </c>
      <c r="N8" s="6" t="s">
        <v>11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 ht="15.75">
      <c r="A9" s="36" t="str">
        <f>titular</f>
        <v>Ancusa Versavia</v>
      </c>
      <c r="B9" s="7" t="s">
        <v>13</v>
      </c>
      <c r="C9" s="8" t="s">
        <v>28</v>
      </c>
      <c r="D9" s="8" t="s">
        <v>28</v>
      </c>
      <c r="E9" s="9" t="s">
        <v>28</v>
      </c>
      <c r="F9" s="9" t="s">
        <v>28</v>
      </c>
      <c r="G9" s="9" t="s">
        <v>28</v>
      </c>
      <c r="H9" s="10" t="s">
        <v>14</v>
      </c>
      <c r="I9" s="10" t="s">
        <v>14</v>
      </c>
      <c r="J9" s="39"/>
      <c r="L9" s="32"/>
      <c r="M9" s="5" t="s">
        <v>15</v>
      </c>
      <c r="N9" s="6" t="s">
        <v>16</v>
      </c>
    </row>
    <row r="10" spans="1:34" ht="15.75">
      <c r="A10" s="37"/>
      <c r="B10" s="7" t="s">
        <v>17</v>
      </c>
      <c r="C10" s="8" t="s">
        <v>31</v>
      </c>
      <c r="D10" s="8" t="s">
        <v>31</v>
      </c>
      <c r="E10" s="9" t="s">
        <v>31</v>
      </c>
      <c r="F10" s="9" t="s">
        <v>31</v>
      </c>
      <c r="G10" s="9" t="s">
        <v>31</v>
      </c>
      <c r="H10" s="10" t="s">
        <v>14</v>
      </c>
      <c r="I10" s="10" t="s">
        <v>14</v>
      </c>
      <c r="J10" s="40"/>
      <c r="L10" s="32"/>
      <c r="M10" s="5" t="s">
        <v>18</v>
      </c>
      <c r="N10" s="6" t="s">
        <v>19</v>
      </c>
    </row>
    <row r="11" spans="1:34" ht="15.75">
      <c r="A11" s="37"/>
      <c r="B11" s="7" t="s">
        <v>20</v>
      </c>
      <c r="C11" s="8" t="s">
        <v>28</v>
      </c>
      <c r="D11" s="8" t="s">
        <v>28</v>
      </c>
      <c r="E11" s="9" t="s">
        <v>28</v>
      </c>
      <c r="F11" s="9" t="s">
        <v>28</v>
      </c>
      <c r="G11" s="9" t="s">
        <v>28</v>
      </c>
      <c r="H11" s="10" t="s">
        <v>14</v>
      </c>
      <c r="I11" s="10" t="s">
        <v>14</v>
      </c>
      <c r="J11" s="40"/>
      <c r="L11" s="32"/>
      <c r="M11" s="5" t="s">
        <v>21</v>
      </c>
      <c r="N11" s="6" t="s">
        <v>22</v>
      </c>
    </row>
    <row r="12" spans="1:34" ht="15.75">
      <c r="A12" s="37"/>
      <c r="B12" s="7" t="s">
        <v>23</v>
      </c>
      <c r="C12" s="8" t="s">
        <v>31</v>
      </c>
      <c r="D12" s="8" t="s">
        <v>31</v>
      </c>
      <c r="E12" s="9" t="s">
        <v>31</v>
      </c>
      <c r="F12" s="9" t="s">
        <v>31</v>
      </c>
      <c r="G12" s="9" t="s">
        <v>31</v>
      </c>
      <c r="H12" s="10" t="s">
        <v>14</v>
      </c>
      <c r="I12" s="10" t="s">
        <v>14</v>
      </c>
      <c r="J12" s="40"/>
      <c r="L12" s="32"/>
      <c r="M12" s="11" t="s">
        <v>24</v>
      </c>
      <c r="N12" s="22" t="s">
        <v>25</v>
      </c>
    </row>
    <row r="13" spans="1:34" ht="15.75">
      <c r="A13" s="37"/>
      <c r="B13" s="7" t="s">
        <v>26</v>
      </c>
      <c r="C13" s="8" t="s">
        <v>28</v>
      </c>
      <c r="D13" s="8" t="s">
        <v>28</v>
      </c>
      <c r="E13" s="9" t="s">
        <v>28</v>
      </c>
      <c r="F13" s="9" t="s">
        <v>28</v>
      </c>
      <c r="G13" s="9" t="s">
        <v>28</v>
      </c>
      <c r="H13" s="10" t="s">
        <v>14</v>
      </c>
      <c r="I13" s="10" t="s">
        <v>14</v>
      </c>
      <c r="J13" s="40"/>
      <c r="L13" s="32"/>
      <c r="M13" s="11" t="s">
        <v>27</v>
      </c>
      <c r="N13" s="6" t="s">
        <v>28</v>
      </c>
    </row>
    <row r="14" spans="1:34" ht="15.75">
      <c r="A14" s="37"/>
      <c r="B14" s="7" t="s">
        <v>29</v>
      </c>
      <c r="C14" s="8" t="s">
        <v>31</v>
      </c>
      <c r="D14" s="8" t="s">
        <v>31</v>
      </c>
      <c r="E14" s="9" t="s">
        <v>31</v>
      </c>
      <c r="F14" s="9" t="s">
        <v>31</v>
      </c>
      <c r="G14" s="9" t="s">
        <v>31</v>
      </c>
      <c r="H14" s="10" t="s">
        <v>14</v>
      </c>
      <c r="I14" s="10" t="s">
        <v>14</v>
      </c>
      <c r="J14" s="40"/>
      <c r="L14" s="32"/>
      <c r="M14" s="11" t="s">
        <v>30</v>
      </c>
      <c r="N14" s="6" t="s">
        <v>31</v>
      </c>
    </row>
    <row r="15" spans="1:34" ht="15.75">
      <c r="A15" s="37"/>
      <c r="B15" s="7" t="s">
        <v>32</v>
      </c>
      <c r="C15" s="8" t="s">
        <v>28</v>
      </c>
      <c r="D15" s="8" t="s">
        <v>28</v>
      </c>
      <c r="E15" s="9" t="s">
        <v>28</v>
      </c>
      <c r="F15" s="9" t="s">
        <v>28</v>
      </c>
      <c r="G15" s="9" t="s">
        <v>28</v>
      </c>
      <c r="H15" s="10" t="s">
        <v>14</v>
      </c>
      <c r="I15" s="10" t="s">
        <v>14</v>
      </c>
      <c r="J15" s="40"/>
      <c r="L15" s="32"/>
      <c r="M15" s="11" t="s">
        <v>33</v>
      </c>
      <c r="N15" s="22" t="s">
        <v>34</v>
      </c>
    </row>
    <row r="16" spans="1:34" ht="15.75" customHeight="1">
      <c r="A16" s="37"/>
      <c r="B16" s="7" t="s">
        <v>35</v>
      </c>
      <c r="C16" s="8" t="s">
        <v>31</v>
      </c>
      <c r="D16" s="8" t="s">
        <v>31</v>
      </c>
      <c r="E16" s="9" t="s">
        <v>31</v>
      </c>
      <c r="F16" s="9" t="s">
        <v>31</v>
      </c>
      <c r="G16" s="9" t="s">
        <v>31</v>
      </c>
      <c r="H16" s="10" t="s">
        <v>14</v>
      </c>
      <c r="I16" s="10" t="s">
        <v>14</v>
      </c>
      <c r="J16" s="40"/>
      <c r="L16" s="32"/>
      <c r="M16" s="11" t="s">
        <v>36</v>
      </c>
      <c r="N16" s="22" t="s">
        <v>37</v>
      </c>
    </row>
    <row r="17" spans="1:14" ht="15.75">
      <c r="A17" s="37"/>
      <c r="B17" s="7" t="s">
        <v>38</v>
      </c>
      <c r="C17" s="8"/>
      <c r="D17" s="8"/>
      <c r="E17" s="9"/>
      <c r="F17" s="9"/>
      <c r="G17" s="9"/>
      <c r="H17" s="10" t="s">
        <v>14</v>
      </c>
      <c r="I17" s="10" t="s">
        <v>14</v>
      </c>
      <c r="J17" s="40"/>
      <c r="L17" s="33"/>
      <c r="M17" s="11" t="s">
        <v>39</v>
      </c>
      <c r="N17" s="6" t="s">
        <v>14</v>
      </c>
    </row>
    <row r="18" spans="1:14" ht="15.75">
      <c r="A18" s="37"/>
      <c r="B18" s="7" t="s">
        <v>40</v>
      </c>
      <c r="C18" s="8"/>
      <c r="D18" s="8"/>
      <c r="E18" s="9"/>
      <c r="F18" s="9"/>
      <c r="G18" s="9"/>
      <c r="H18" s="10" t="s">
        <v>14</v>
      </c>
      <c r="I18" s="10" t="s">
        <v>14</v>
      </c>
      <c r="J18" s="40"/>
      <c r="L18" s="31" t="s">
        <v>41</v>
      </c>
      <c r="M18" s="5" t="s">
        <v>42</v>
      </c>
      <c r="N18" s="6" t="s">
        <v>43</v>
      </c>
    </row>
    <row r="19" spans="1:14" ht="15.75">
      <c r="A19" s="37"/>
      <c r="B19" s="7" t="s">
        <v>44</v>
      </c>
      <c r="C19" s="8"/>
      <c r="D19" s="8"/>
      <c r="E19" s="9"/>
      <c r="F19" s="9"/>
      <c r="G19" s="9"/>
      <c r="H19" s="10" t="s">
        <v>14</v>
      </c>
      <c r="I19" s="10" t="s">
        <v>14</v>
      </c>
      <c r="J19" s="40"/>
      <c r="L19" s="32"/>
      <c r="M19" s="5" t="s">
        <v>45</v>
      </c>
      <c r="N19" s="6" t="s">
        <v>46</v>
      </c>
    </row>
    <row r="20" spans="1:14" ht="15.75">
      <c r="A20" s="37"/>
      <c r="B20" s="7" t="s">
        <v>47</v>
      </c>
      <c r="C20" s="8"/>
      <c r="D20" s="8"/>
      <c r="E20" s="9"/>
      <c r="F20" s="9"/>
      <c r="G20" s="9"/>
      <c r="H20" s="10" t="s">
        <v>14</v>
      </c>
      <c r="I20" s="10" t="s">
        <v>14</v>
      </c>
      <c r="J20" s="40"/>
      <c r="L20" s="32"/>
      <c r="M20" s="5" t="s">
        <v>48</v>
      </c>
      <c r="N20" s="6" t="s">
        <v>49</v>
      </c>
    </row>
    <row r="21" spans="1:14" ht="15.75">
      <c r="A21" s="37"/>
      <c r="B21" s="7" t="s">
        <v>50</v>
      </c>
      <c r="C21" s="8"/>
      <c r="D21" s="8"/>
      <c r="E21" s="9"/>
      <c r="F21" s="9"/>
      <c r="G21" s="9"/>
      <c r="H21" s="10" t="s">
        <v>14</v>
      </c>
      <c r="I21" s="10" t="s">
        <v>14</v>
      </c>
      <c r="J21" s="40"/>
      <c r="L21" s="32"/>
      <c r="M21" s="5" t="s">
        <v>51</v>
      </c>
      <c r="N21" s="6" t="s">
        <v>52</v>
      </c>
    </row>
    <row r="22" spans="1:14" ht="15.75">
      <c r="A22" s="38"/>
      <c r="B22" s="7" t="s">
        <v>53</v>
      </c>
      <c r="C22" s="8"/>
      <c r="D22" s="8"/>
      <c r="E22" s="9"/>
      <c r="F22" s="9"/>
      <c r="G22" s="9"/>
      <c r="H22" s="10" t="s">
        <v>14</v>
      </c>
      <c r="I22" s="10" t="s">
        <v>14</v>
      </c>
      <c r="J22" s="41"/>
      <c r="L22" s="32"/>
      <c r="M22" s="11" t="s">
        <v>54</v>
      </c>
      <c r="N22" s="22" t="s">
        <v>55</v>
      </c>
    </row>
    <row r="23" spans="1:14" s="15" customFormat="1" ht="15.75">
      <c r="A23" s="23"/>
      <c r="B23" s="13" t="s">
        <v>56</v>
      </c>
      <c r="C23" s="14">
        <f>COUNTIF(C9:C22, "A I*")+COUNTIF(C9:C22, "B")+COUNTIF(C9:C22, "C")+COUNTIF(C9:C22, "D*")</f>
        <v>8</v>
      </c>
      <c r="D23" s="14">
        <f t="shared" ref="D23:I23" si="1">COUNTIF(D9:D22, "A I*")+COUNTIF(D9:D22, "B")+COUNTIF(D9:D22, "C")+COUNTIF(D9:D22, "D*")</f>
        <v>8</v>
      </c>
      <c r="E23" s="14">
        <f t="shared" si="1"/>
        <v>8</v>
      </c>
      <c r="F23" s="14">
        <f t="shared" si="1"/>
        <v>8</v>
      </c>
      <c r="G23" s="14">
        <f t="shared" si="1"/>
        <v>8</v>
      </c>
      <c r="H23" s="14">
        <f t="shared" si="1"/>
        <v>0</v>
      </c>
      <c r="I23" s="14">
        <f t="shared" si="1"/>
        <v>0</v>
      </c>
      <c r="J23" s="14">
        <f>SUM(C23:I23)</f>
        <v>40</v>
      </c>
      <c r="K23" s="52"/>
      <c r="L23" s="33"/>
      <c r="M23" s="11" t="s">
        <v>57</v>
      </c>
      <c r="N23" s="6" t="s">
        <v>58</v>
      </c>
    </row>
    <row r="24" spans="1:14">
      <c r="B24" s="16"/>
    </row>
    <row r="25" spans="1:14">
      <c r="B25" s="16"/>
    </row>
    <row r="26" spans="1:14">
      <c r="B26" s="16"/>
    </row>
    <row r="27" spans="1:14">
      <c r="B27" s="16"/>
    </row>
    <row r="28" spans="1:14">
      <c r="B28" s="16"/>
    </row>
    <row r="29" spans="1:14">
      <c r="B29" s="16"/>
    </row>
    <row r="30" spans="1:14">
      <c r="B30" s="16"/>
    </row>
    <row r="31" spans="1:14">
      <c r="B31" s="16"/>
    </row>
    <row r="32" spans="1:14">
      <c r="B32" s="16"/>
    </row>
    <row r="33" spans="2:2">
      <c r="B33" s="16"/>
    </row>
  </sheetData>
  <sheetProtection sheet="1" objects="1" scenarios="1"/>
  <mergeCells count="11">
    <mergeCell ref="A4:J4"/>
    <mergeCell ref="A5:J5"/>
    <mergeCell ref="A7:A8"/>
    <mergeCell ref="B7:B8"/>
    <mergeCell ref="C7:I7"/>
    <mergeCell ref="J7:J8"/>
    <mergeCell ref="L7:N7"/>
    <mergeCell ref="A9:A22"/>
    <mergeCell ref="J9:J22"/>
    <mergeCell ref="L8:L17"/>
    <mergeCell ref="L18:L23"/>
  </mergeCells>
  <phoneticPr fontId="13" type="noConversion"/>
  <dataValidations count="1">
    <dataValidation type="list" allowBlank="1" showInputMessage="1" showErrorMessage="1" sqref="C9:I22" xr:uid="{C0CF7859-BEF1-4923-BD74-9F4DB633A850}">
      <formula1>activități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B13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213C-0FEC-43E4-9AB2-C96C3675E727}">
  <sheetPr>
    <pageSetUpPr fitToPage="1"/>
  </sheetPr>
  <dimension ref="A1:AH33"/>
  <sheetViews>
    <sheetView workbookViewId="0">
      <selection activeCell="C17" sqref="C17:C18"/>
    </sheetView>
  </sheetViews>
  <sheetFormatPr defaultRowHeight="15"/>
  <cols>
    <col min="1" max="1" width="25.7109375" style="1" customWidth="1"/>
    <col min="2" max="2" width="9.140625" style="1"/>
    <col min="3" max="3" width="8.5703125" style="1" bestFit="1" customWidth="1"/>
    <col min="4" max="9" width="9.28515625" style="1" bestFit="1" customWidth="1"/>
    <col min="10" max="10" width="15.7109375" style="1" customWidth="1"/>
    <col min="11" max="11" width="11.7109375" style="1" customWidth="1"/>
    <col min="12" max="12" width="15.7109375" style="1" customWidth="1"/>
    <col min="13" max="13" width="26.7109375" style="1" bestFit="1" customWidth="1"/>
    <col min="14" max="16384" width="9.140625" style="1"/>
  </cols>
  <sheetData>
    <row r="1" spans="1:34">
      <c r="A1" s="17" t="str">
        <f>upt</f>
        <v>Universitatea Politehnica Timișoara</v>
      </c>
    </row>
    <row r="2" spans="1:34">
      <c r="A2" s="17" t="str">
        <f>dep</f>
        <v>Departamentul Calculatoare si Tehnologia Informatiei</v>
      </c>
    </row>
    <row r="4" spans="1:34" ht="33" customHeight="1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</row>
    <row r="5" spans="1:34" ht="15.75">
      <c r="A5" s="43">
        <f>'TCMDD-săpt-1'!$A$5</f>
        <v>46143</v>
      </c>
      <c r="B5" s="43"/>
      <c r="C5" s="43"/>
      <c r="D5" s="43"/>
      <c r="E5" s="43"/>
      <c r="F5" s="43"/>
      <c r="G5" s="43"/>
      <c r="H5" s="43"/>
      <c r="I5" s="43"/>
      <c r="J5" s="43"/>
    </row>
    <row r="6" spans="1:34" ht="15.75">
      <c r="A6" s="2"/>
      <c r="B6" s="2"/>
      <c r="C6" s="2"/>
      <c r="D6" s="2"/>
      <c r="E6" s="2"/>
      <c r="F6" s="2"/>
      <c r="G6" s="2"/>
      <c r="H6" s="2"/>
      <c r="I6" s="2"/>
      <c r="J6" s="2"/>
    </row>
    <row r="7" spans="1:34" s="3" customFormat="1" ht="15" customHeight="1">
      <c r="A7" s="44" t="s">
        <v>4</v>
      </c>
      <c r="B7" s="44" t="s">
        <v>5</v>
      </c>
      <c r="C7" s="44" t="s">
        <v>6</v>
      </c>
      <c r="D7" s="44"/>
      <c r="E7" s="44"/>
      <c r="F7" s="44"/>
      <c r="G7" s="44"/>
      <c r="H7" s="44"/>
      <c r="I7" s="44"/>
      <c r="J7" s="44" t="s">
        <v>7</v>
      </c>
      <c r="K7" s="47"/>
      <c r="L7" s="48" t="s">
        <v>8</v>
      </c>
      <c r="M7" s="48"/>
      <c r="N7" s="48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spans="1:34" s="3" customFormat="1" ht="15.75" customHeight="1">
      <c r="A8" s="44"/>
      <c r="B8" s="44"/>
      <c r="C8" s="4">
        <f>primazi+7*3</f>
        <v>46160</v>
      </c>
      <c r="D8" s="4">
        <f t="shared" ref="D8:I8" si="0">C8+1</f>
        <v>46161</v>
      </c>
      <c r="E8" s="4">
        <f t="shared" si="0"/>
        <v>46162</v>
      </c>
      <c r="F8" s="4">
        <f t="shared" si="0"/>
        <v>46163</v>
      </c>
      <c r="G8" s="4">
        <f t="shared" si="0"/>
        <v>46164</v>
      </c>
      <c r="H8" s="4">
        <f t="shared" si="0"/>
        <v>46165</v>
      </c>
      <c r="I8" s="4">
        <f t="shared" si="0"/>
        <v>46166</v>
      </c>
      <c r="J8" s="44"/>
      <c r="K8" s="49"/>
      <c r="L8" s="31" t="s">
        <v>9</v>
      </c>
      <c r="M8" s="5" t="s">
        <v>10</v>
      </c>
      <c r="N8" s="6" t="s">
        <v>11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 ht="15.75">
      <c r="A9" s="36" t="str">
        <f>titular</f>
        <v>Ancusa Versavia</v>
      </c>
      <c r="B9" s="7" t="s">
        <v>13</v>
      </c>
      <c r="C9" s="8" t="s">
        <v>28</v>
      </c>
      <c r="D9" s="8" t="s">
        <v>28</v>
      </c>
      <c r="E9" s="9" t="s">
        <v>28</v>
      </c>
      <c r="F9" s="9" t="s">
        <v>28</v>
      </c>
      <c r="G9" s="9" t="s">
        <v>28</v>
      </c>
      <c r="H9" s="10" t="s">
        <v>14</v>
      </c>
      <c r="I9" s="10" t="s">
        <v>14</v>
      </c>
      <c r="J9" s="39"/>
      <c r="L9" s="32"/>
      <c r="M9" s="5" t="s">
        <v>15</v>
      </c>
      <c r="N9" s="6" t="s">
        <v>16</v>
      </c>
    </row>
    <row r="10" spans="1:34" ht="15.75">
      <c r="A10" s="37"/>
      <c r="B10" s="7" t="s">
        <v>17</v>
      </c>
      <c r="C10" s="8" t="s">
        <v>31</v>
      </c>
      <c r="D10" s="8" t="s">
        <v>31</v>
      </c>
      <c r="E10" s="9" t="s">
        <v>31</v>
      </c>
      <c r="F10" s="9" t="s">
        <v>31</v>
      </c>
      <c r="G10" s="9" t="s">
        <v>31</v>
      </c>
      <c r="H10" s="10" t="s">
        <v>14</v>
      </c>
      <c r="I10" s="10" t="s">
        <v>14</v>
      </c>
      <c r="J10" s="40"/>
      <c r="L10" s="32"/>
      <c r="M10" s="5" t="s">
        <v>18</v>
      </c>
      <c r="N10" s="6" t="s">
        <v>19</v>
      </c>
    </row>
    <row r="11" spans="1:34" ht="15.75">
      <c r="A11" s="37"/>
      <c r="B11" s="7" t="s">
        <v>20</v>
      </c>
      <c r="C11" s="8" t="s">
        <v>28</v>
      </c>
      <c r="D11" s="8" t="s">
        <v>28</v>
      </c>
      <c r="E11" s="9" t="s">
        <v>28</v>
      </c>
      <c r="F11" s="9" t="s">
        <v>28</v>
      </c>
      <c r="G11" s="9" t="s">
        <v>28</v>
      </c>
      <c r="H11" s="10" t="s">
        <v>14</v>
      </c>
      <c r="I11" s="10" t="s">
        <v>14</v>
      </c>
      <c r="J11" s="40"/>
      <c r="L11" s="32"/>
      <c r="M11" s="5" t="s">
        <v>21</v>
      </c>
      <c r="N11" s="6" t="s">
        <v>22</v>
      </c>
    </row>
    <row r="12" spans="1:34" ht="15.75">
      <c r="A12" s="37"/>
      <c r="B12" s="7" t="s">
        <v>23</v>
      </c>
      <c r="C12" s="8" t="s">
        <v>31</v>
      </c>
      <c r="D12" s="8" t="s">
        <v>31</v>
      </c>
      <c r="E12" s="9" t="s">
        <v>31</v>
      </c>
      <c r="F12" s="9" t="s">
        <v>31</v>
      </c>
      <c r="G12" s="9" t="s">
        <v>31</v>
      </c>
      <c r="H12" s="10" t="s">
        <v>14</v>
      </c>
      <c r="I12" s="10" t="s">
        <v>14</v>
      </c>
      <c r="J12" s="40"/>
      <c r="L12" s="32"/>
      <c r="M12" s="11" t="s">
        <v>24</v>
      </c>
      <c r="N12" s="22" t="s">
        <v>25</v>
      </c>
    </row>
    <row r="13" spans="1:34" ht="15.75">
      <c r="A13" s="37"/>
      <c r="B13" s="7" t="s">
        <v>26</v>
      </c>
      <c r="C13" s="8" t="s">
        <v>28</v>
      </c>
      <c r="D13" s="8" t="s">
        <v>28</v>
      </c>
      <c r="E13" s="9" t="s">
        <v>28</v>
      </c>
      <c r="F13" s="9" t="s">
        <v>28</v>
      </c>
      <c r="G13" s="9" t="s">
        <v>28</v>
      </c>
      <c r="H13" s="10" t="s">
        <v>14</v>
      </c>
      <c r="I13" s="10" t="s">
        <v>14</v>
      </c>
      <c r="J13" s="40"/>
      <c r="L13" s="32"/>
      <c r="M13" s="11" t="s">
        <v>27</v>
      </c>
      <c r="N13" s="6" t="s">
        <v>28</v>
      </c>
    </row>
    <row r="14" spans="1:34" ht="15.75">
      <c r="A14" s="37"/>
      <c r="B14" s="7" t="s">
        <v>29</v>
      </c>
      <c r="C14" s="8" t="s">
        <v>31</v>
      </c>
      <c r="D14" s="8" t="s">
        <v>31</v>
      </c>
      <c r="E14" s="9" t="s">
        <v>31</v>
      </c>
      <c r="F14" s="9" t="s">
        <v>31</v>
      </c>
      <c r="G14" s="9" t="s">
        <v>31</v>
      </c>
      <c r="H14" s="10" t="s">
        <v>14</v>
      </c>
      <c r="I14" s="10" t="s">
        <v>14</v>
      </c>
      <c r="J14" s="40"/>
      <c r="L14" s="32"/>
      <c r="M14" s="11" t="s">
        <v>30</v>
      </c>
      <c r="N14" s="6" t="s">
        <v>31</v>
      </c>
    </row>
    <row r="15" spans="1:34" ht="15.75">
      <c r="A15" s="37"/>
      <c r="B15" s="7" t="s">
        <v>32</v>
      </c>
      <c r="C15" s="8"/>
      <c r="D15" s="8" t="s">
        <v>28</v>
      </c>
      <c r="E15" s="9" t="s">
        <v>28</v>
      </c>
      <c r="F15" s="9" t="s">
        <v>28</v>
      </c>
      <c r="G15" s="9" t="s">
        <v>28</v>
      </c>
      <c r="H15" s="10" t="s">
        <v>14</v>
      </c>
      <c r="I15" s="10" t="s">
        <v>14</v>
      </c>
      <c r="J15" s="40"/>
      <c r="L15" s="32"/>
      <c r="M15" s="11" t="s">
        <v>33</v>
      </c>
      <c r="N15" s="22" t="s">
        <v>34</v>
      </c>
    </row>
    <row r="16" spans="1:34" ht="15.75" customHeight="1">
      <c r="A16" s="37"/>
      <c r="B16" s="7" t="s">
        <v>35</v>
      </c>
      <c r="C16" s="8"/>
      <c r="D16" s="8" t="s">
        <v>31</v>
      </c>
      <c r="E16" s="9" t="s">
        <v>31</v>
      </c>
      <c r="F16" s="9" t="s">
        <v>31</v>
      </c>
      <c r="G16" s="9" t="s">
        <v>31</v>
      </c>
      <c r="H16" s="10" t="s">
        <v>14</v>
      </c>
      <c r="I16" s="10" t="s">
        <v>14</v>
      </c>
      <c r="J16" s="40"/>
      <c r="L16" s="32"/>
      <c r="M16" s="11" t="s">
        <v>36</v>
      </c>
      <c r="N16" s="22" t="s">
        <v>37</v>
      </c>
    </row>
    <row r="17" spans="1:14" ht="15.75">
      <c r="A17" s="37"/>
      <c r="B17" s="7" t="s">
        <v>38</v>
      </c>
      <c r="C17" s="8" t="s">
        <v>25</v>
      </c>
      <c r="D17" s="8"/>
      <c r="E17" s="9"/>
      <c r="F17" s="9"/>
      <c r="G17" s="9"/>
      <c r="H17" s="10" t="s">
        <v>14</v>
      </c>
      <c r="I17" s="10" t="s">
        <v>14</v>
      </c>
      <c r="J17" s="40"/>
      <c r="L17" s="33"/>
      <c r="M17" s="11" t="s">
        <v>39</v>
      </c>
      <c r="N17" s="6" t="s">
        <v>14</v>
      </c>
    </row>
    <row r="18" spans="1:14" ht="15.75">
      <c r="A18" s="37"/>
      <c r="B18" s="7" t="s">
        <v>40</v>
      </c>
      <c r="C18" s="8" t="s">
        <v>25</v>
      </c>
      <c r="D18" s="8"/>
      <c r="E18" s="9"/>
      <c r="F18" s="9"/>
      <c r="G18" s="9"/>
      <c r="H18" s="10" t="s">
        <v>14</v>
      </c>
      <c r="I18" s="10" t="s">
        <v>14</v>
      </c>
      <c r="J18" s="40"/>
      <c r="L18" s="31" t="s">
        <v>41</v>
      </c>
      <c r="M18" s="5" t="s">
        <v>42</v>
      </c>
      <c r="N18" s="6" t="s">
        <v>43</v>
      </c>
    </row>
    <row r="19" spans="1:14" ht="15.75">
      <c r="A19" s="37"/>
      <c r="B19" s="7" t="s">
        <v>44</v>
      </c>
      <c r="C19" s="8"/>
      <c r="D19" s="8"/>
      <c r="E19" s="9"/>
      <c r="F19" s="9"/>
      <c r="G19" s="9"/>
      <c r="H19" s="10" t="s">
        <v>14</v>
      </c>
      <c r="I19" s="10" t="s">
        <v>14</v>
      </c>
      <c r="J19" s="40"/>
      <c r="L19" s="32"/>
      <c r="M19" s="5" t="s">
        <v>45</v>
      </c>
      <c r="N19" s="6" t="s">
        <v>46</v>
      </c>
    </row>
    <row r="20" spans="1:14" ht="15.75">
      <c r="A20" s="37"/>
      <c r="B20" s="7" t="s">
        <v>47</v>
      </c>
      <c r="C20" s="8"/>
      <c r="D20" s="8"/>
      <c r="E20" s="9"/>
      <c r="F20" s="9"/>
      <c r="G20" s="9"/>
      <c r="H20" s="10" t="s">
        <v>14</v>
      </c>
      <c r="I20" s="10" t="s">
        <v>14</v>
      </c>
      <c r="J20" s="40"/>
      <c r="L20" s="32"/>
      <c r="M20" s="5" t="s">
        <v>48</v>
      </c>
      <c r="N20" s="6" t="s">
        <v>49</v>
      </c>
    </row>
    <row r="21" spans="1:14" ht="15.75">
      <c r="A21" s="37"/>
      <c r="B21" s="7" t="s">
        <v>50</v>
      </c>
      <c r="C21" s="8"/>
      <c r="D21" s="8"/>
      <c r="E21" s="9"/>
      <c r="F21" s="9"/>
      <c r="G21" s="9"/>
      <c r="H21" s="10" t="s">
        <v>14</v>
      </c>
      <c r="I21" s="10" t="s">
        <v>14</v>
      </c>
      <c r="J21" s="40"/>
      <c r="L21" s="32"/>
      <c r="M21" s="5" t="s">
        <v>51</v>
      </c>
      <c r="N21" s="6" t="s">
        <v>52</v>
      </c>
    </row>
    <row r="22" spans="1:14" ht="15.75">
      <c r="A22" s="38"/>
      <c r="B22" s="7" t="s">
        <v>53</v>
      </c>
      <c r="C22" s="8"/>
      <c r="D22" s="8"/>
      <c r="E22" s="9"/>
      <c r="F22" s="9"/>
      <c r="G22" s="9"/>
      <c r="H22" s="10" t="s">
        <v>14</v>
      </c>
      <c r="I22" s="10" t="s">
        <v>14</v>
      </c>
      <c r="J22" s="41"/>
      <c r="L22" s="32"/>
      <c r="M22" s="11" t="s">
        <v>54</v>
      </c>
      <c r="N22" s="22" t="s">
        <v>55</v>
      </c>
    </row>
    <row r="23" spans="1:14" s="15" customFormat="1" ht="15.75">
      <c r="A23" s="23"/>
      <c r="B23" s="13" t="s">
        <v>56</v>
      </c>
      <c r="C23" s="14">
        <f>COUNTIF(C9:C22, "A I*")+COUNTIF(C9:C22, "B")+COUNTIF(C9:C22, "C")+COUNTIF(C9:C22, "D*")</f>
        <v>8</v>
      </c>
      <c r="D23" s="14">
        <f t="shared" ref="D23:I23" si="1">COUNTIF(D9:D22, "A I*")+COUNTIF(D9:D22, "B")+COUNTIF(D9:D22, "C")+COUNTIF(D9:D22, "D*")</f>
        <v>8</v>
      </c>
      <c r="E23" s="14">
        <f t="shared" si="1"/>
        <v>8</v>
      </c>
      <c r="F23" s="14">
        <f t="shared" si="1"/>
        <v>8</v>
      </c>
      <c r="G23" s="14">
        <f t="shared" si="1"/>
        <v>8</v>
      </c>
      <c r="H23" s="14">
        <f t="shared" si="1"/>
        <v>0</v>
      </c>
      <c r="I23" s="14">
        <f t="shared" si="1"/>
        <v>0</v>
      </c>
      <c r="J23" s="14">
        <f>SUM(C23:I23)</f>
        <v>40</v>
      </c>
      <c r="K23" s="52"/>
      <c r="L23" s="33"/>
      <c r="M23" s="11" t="s">
        <v>57</v>
      </c>
      <c r="N23" s="6" t="s">
        <v>58</v>
      </c>
    </row>
    <row r="24" spans="1:14">
      <c r="B24" s="16"/>
    </row>
    <row r="25" spans="1:14">
      <c r="B25" s="16"/>
    </row>
    <row r="26" spans="1:14">
      <c r="B26" s="16"/>
    </row>
    <row r="27" spans="1:14">
      <c r="B27" s="16"/>
    </row>
    <row r="28" spans="1:14">
      <c r="B28" s="16"/>
    </row>
    <row r="29" spans="1:14">
      <c r="B29" s="16"/>
    </row>
    <row r="30" spans="1:14">
      <c r="B30" s="16"/>
    </row>
    <row r="31" spans="1:14">
      <c r="B31" s="16"/>
    </row>
    <row r="32" spans="1:14">
      <c r="B32" s="16"/>
    </row>
    <row r="33" spans="2:2">
      <c r="B33" s="16"/>
    </row>
  </sheetData>
  <sheetProtection sheet="1" objects="1" scenarios="1"/>
  <mergeCells count="11">
    <mergeCell ref="A4:J4"/>
    <mergeCell ref="A5:J5"/>
    <mergeCell ref="A7:A8"/>
    <mergeCell ref="B7:B8"/>
    <mergeCell ref="C7:I7"/>
    <mergeCell ref="J7:J8"/>
    <mergeCell ref="L7:N7"/>
    <mergeCell ref="A9:A22"/>
    <mergeCell ref="J9:J22"/>
    <mergeCell ref="L8:L17"/>
    <mergeCell ref="L18:L23"/>
  </mergeCells>
  <phoneticPr fontId="13" type="noConversion"/>
  <dataValidations count="1">
    <dataValidation type="list" allowBlank="1" showInputMessage="1" showErrorMessage="1" sqref="C9:I22" xr:uid="{46C1BA34-344B-41B9-A455-C123CA54E565}">
      <formula1>activități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B13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7EBE-33E9-4D7D-A956-6E31E709014A}">
  <sheetPr>
    <pageSetUpPr fitToPage="1"/>
  </sheetPr>
  <dimension ref="A1:AH33"/>
  <sheetViews>
    <sheetView workbookViewId="0">
      <selection activeCell="F18" sqref="F18"/>
    </sheetView>
  </sheetViews>
  <sheetFormatPr defaultRowHeight="15"/>
  <cols>
    <col min="1" max="1" width="25.7109375" style="1" customWidth="1"/>
    <col min="2" max="2" width="9.140625" style="1"/>
    <col min="3" max="3" width="8.5703125" style="1" bestFit="1" customWidth="1"/>
    <col min="4" max="9" width="9.28515625" style="1" bestFit="1" customWidth="1"/>
    <col min="10" max="10" width="15.7109375" style="1" customWidth="1"/>
    <col min="11" max="11" width="11.7109375" style="1" customWidth="1"/>
    <col min="12" max="12" width="15.7109375" style="1" customWidth="1"/>
    <col min="13" max="13" width="26.7109375" style="1" bestFit="1" customWidth="1"/>
    <col min="14" max="16384" width="9.140625" style="1"/>
  </cols>
  <sheetData>
    <row r="1" spans="1:34">
      <c r="A1" s="17" t="str">
        <f>upt</f>
        <v>Universitatea Politehnica Timișoara</v>
      </c>
    </row>
    <row r="2" spans="1:34">
      <c r="A2" s="17" t="str">
        <f>dep</f>
        <v>Departamentul Calculatoare si Tehnologia Informatiei</v>
      </c>
    </row>
    <row r="4" spans="1:34" ht="33" customHeight="1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</row>
    <row r="5" spans="1:34" ht="15.75">
      <c r="A5" s="43">
        <f>'TCMDD-săpt-1'!$A$5</f>
        <v>46143</v>
      </c>
      <c r="B5" s="43"/>
      <c r="C5" s="43"/>
      <c r="D5" s="43"/>
      <c r="E5" s="43"/>
      <c r="F5" s="43"/>
      <c r="G5" s="43"/>
      <c r="H5" s="43"/>
      <c r="I5" s="43"/>
      <c r="J5" s="43"/>
    </row>
    <row r="6" spans="1:34" ht="15.75">
      <c r="A6" s="2"/>
      <c r="B6" s="2"/>
      <c r="C6" s="2"/>
      <c r="D6" s="2"/>
      <c r="E6" s="2"/>
      <c r="F6" s="2"/>
      <c r="G6" s="2"/>
      <c r="H6" s="2"/>
      <c r="I6" s="2"/>
      <c r="J6" s="2"/>
    </row>
    <row r="7" spans="1:34" s="3" customFormat="1" ht="15" customHeight="1">
      <c r="A7" s="44" t="s">
        <v>4</v>
      </c>
      <c r="B7" s="44" t="s">
        <v>5</v>
      </c>
      <c r="C7" s="44" t="s">
        <v>6</v>
      </c>
      <c r="D7" s="44"/>
      <c r="E7" s="44"/>
      <c r="F7" s="44"/>
      <c r="G7" s="44"/>
      <c r="H7" s="44"/>
      <c r="I7" s="44"/>
      <c r="J7" s="44" t="s">
        <v>7</v>
      </c>
      <c r="K7" s="47"/>
      <c r="L7" s="48" t="s">
        <v>8</v>
      </c>
      <c r="M7" s="48"/>
      <c r="N7" s="48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spans="1:34" s="3" customFormat="1" ht="15.75" customHeight="1">
      <c r="A8" s="44"/>
      <c r="B8" s="44"/>
      <c r="C8" s="4">
        <f>primazi+7*4</f>
        <v>46167</v>
      </c>
      <c r="D8" s="4">
        <f t="shared" ref="D8:I8" si="0">C8+1</f>
        <v>46168</v>
      </c>
      <c r="E8" s="4">
        <f t="shared" si="0"/>
        <v>46169</v>
      </c>
      <c r="F8" s="4">
        <f t="shared" si="0"/>
        <v>46170</v>
      </c>
      <c r="G8" s="4">
        <f t="shared" si="0"/>
        <v>46171</v>
      </c>
      <c r="H8" s="4">
        <f t="shared" si="0"/>
        <v>46172</v>
      </c>
      <c r="I8" s="4">
        <f t="shared" si="0"/>
        <v>46173</v>
      </c>
      <c r="J8" s="44"/>
      <c r="K8" s="49"/>
      <c r="L8" s="31" t="s">
        <v>9</v>
      </c>
      <c r="M8" s="5" t="s">
        <v>10</v>
      </c>
      <c r="N8" s="6" t="s">
        <v>11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 ht="15.75">
      <c r="A9" s="36" t="str">
        <f>titular</f>
        <v>Ancusa Versavia</v>
      </c>
      <c r="B9" s="7" t="s">
        <v>13</v>
      </c>
      <c r="C9" s="8" t="s">
        <v>28</v>
      </c>
      <c r="D9" s="8" t="s">
        <v>28</v>
      </c>
      <c r="E9" s="9" t="s">
        <v>28</v>
      </c>
      <c r="F9" s="9" t="s">
        <v>28</v>
      </c>
      <c r="G9" s="8" t="s">
        <v>28</v>
      </c>
      <c r="H9" s="10" t="s">
        <v>14</v>
      </c>
      <c r="I9" s="10" t="s">
        <v>14</v>
      </c>
      <c r="J9" s="39"/>
      <c r="L9" s="32"/>
      <c r="M9" s="5" t="s">
        <v>15</v>
      </c>
      <c r="N9" s="6" t="s">
        <v>16</v>
      </c>
    </row>
    <row r="10" spans="1:34" ht="15.75">
      <c r="A10" s="37"/>
      <c r="B10" s="7" t="s">
        <v>17</v>
      </c>
      <c r="C10" s="8" t="s">
        <v>31</v>
      </c>
      <c r="D10" s="8" t="s">
        <v>31</v>
      </c>
      <c r="E10" s="9" t="s">
        <v>31</v>
      </c>
      <c r="F10" s="9" t="s">
        <v>31</v>
      </c>
      <c r="G10" s="8" t="s">
        <v>31</v>
      </c>
      <c r="H10" s="10" t="s">
        <v>14</v>
      </c>
      <c r="I10" s="10" t="s">
        <v>14</v>
      </c>
      <c r="J10" s="40"/>
      <c r="L10" s="32"/>
      <c r="M10" s="5" t="s">
        <v>18</v>
      </c>
      <c r="N10" s="6" t="s">
        <v>19</v>
      </c>
    </row>
    <row r="11" spans="1:34" ht="15.75">
      <c r="A11" s="37"/>
      <c r="B11" s="7" t="s">
        <v>20</v>
      </c>
      <c r="C11" s="8" t="s">
        <v>28</v>
      </c>
      <c r="D11" s="8" t="s">
        <v>28</v>
      </c>
      <c r="E11" s="9" t="s">
        <v>28</v>
      </c>
      <c r="F11" s="9" t="s">
        <v>28</v>
      </c>
      <c r="G11" s="8" t="s">
        <v>28</v>
      </c>
      <c r="H11" s="10" t="s">
        <v>14</v>
      </c>
      <c r="I11" s="10" t="s">
        <v>14</v>
      </c>
      <c r="J11" s="40"/>
      <c r="L11" s="32"/>
      <c r="M11" s="5" t="s">
        <v>21</v>
      </c>
      <c r="N11" s="6" t="s">
        <v>22</v>
      </c>
    </row>
    <row r="12" spans="1:34" ht="15.75">
      <c r="A12" s="37"/>
      <c r="B12" s="7" t="s">
        <v>23</v>
      </c>
      <c r="C12" s="8" t="s">
        <v>31</v>
      </c>
      <c r="D12" s="8" t="s">
        <v>31</v>
      </c>
      <c r="E12" s="9" t="s">
        <v>31</v>
      </c>
      <c r="F12" s="9" t="s">
        <v>31</v>
      </c>
      <c r="G12" s="8" t="s">
        <v>31</v>
      </c>
      <c r="H12" s="10" t="s">
        <v>14</v>
      </c>
      <c r="I12" s="10" t="s">
        <v>14</v>
      </c>
      <c r="J12" s="40"/>
      <c r="L12" s="32"/>
      <c r="M12" s="11" t="s">
        <v>24</v>
      </c>
      <c r="N12" s="22" t="s">
        <v>25</v>
      </c>
    </row>
    <row r="13" spans="1:34" ht="15.75">
      <c r="A13" s="37"/>
      <c r="B13" s="7" t="s">
        <v>26</v>
      </c>
      <c r="C13" s="8" t="s">
        <v>28</v>
      </c>
      <c r="D13" s="8" t="s">
        <v>28</v>
      </c>
      <c r="E13" s="9" t="s">
        <v>28</v>
      </c>
      <c r="F13" s="9" t="s">
        <v>28</v>
      </c>
      <c r="G13" s="8" t="s">
        <v>28</v>
      </c>
      <c r="H13" s="10" t="s">
        <v>14</v>
      </c>
      <c r="I13" s="10" t="s">
        <v>14</v>
      </c>
      <c r="J13" s="40"/>
      <c r="L13" s="32"/>
      <c r="M13" s="11" t="s">
        <v>27</v>
      </c>
      <c r="N13" s="6" t="s">
        <v>28</v>
      </c>
    </row>
    <row r="14" spans="1:34" ht="15.75">
      <c r="A14" s="37"/>
      <c r="B14" s="7" t="s">
        <v>29</v>
      </c>
      <c r="C14" s="8" t="s">
        <v>31</v>
      </c>
      <c r="D14" s="8" t="s">
        <v>31</v>
      </c>
      <c r="E14" s="9" t="s">
        <v>31</v>
      </c>
      <c r="F14" s="9" t="s">
        <v>31</v>
      </c>
      <c r="G14" s="8" t="s">
        <v>31</v>
      </c>
      <c r="H14" s="10" t="s">
        <v>14</v>
      </c>
      <c r="I14" s="10" t="s">
        <v>14</v>
      </c>
      <c r="J14" s="40"/>
      <c r="L14" s="32"/>
      <c r="M14" s="11" t="s">
        <v>30</v>
      </c>
      <c r="N14" s="6" t="s">
        <v>31</v>
      </c>
    </row>
    <row r="15" spans="1:34" ht="15.75">
      <c r="A15" s="37"/>
      <c r="B15" s="7" t="s">
        <v>32</v>
      </c>
      <c r="C15" s="8" t="s">
        <v>28</v>
      </c>
      <c r="D15" s="8" t="s">
        <v>28</v>
      </c>
      <c r="E15" s="9" t="s">
        <v>28</v>
      </c>
      <c r="F15" s="9" t="s">
        <v>28</v>
      </c>
      <c r="G15" s="8" t="s">
        <v>28</v>
      </c>
      <c r="H15" s="10" t="s">
        <v>14</v>
      </c>
      <c r="I15" s="10" t="s">
        <v>14</v>
      </c>
      <c r="J15" s="40"/>
      <c r="L15" s="32"/>
      <c r="M15" s="11" t="s">
        <v>33</v>
      </c>
      <c r="N15" s="22" t="s">
        <v>34</v>
      </c>
    </row>
    <row r="16" spans="1:34" ht="15.75" customHeight="1">
      <c r="A16" s="37"/>
      <c r="B16" s="7" t="s">
        <v>35</v>
      </c>
      <c r="C16" s="8" t="s">
        <v>31</v>
      </c>
      <c r="D16" s="8" t="s">
        <v>31</v>
      </c>
      <c r="E16" s="9" t="s">
        <v>31</v>
      </c>
      <c r="F16" s="9" t="s">
        <v>31</v>
      </c>
      <c r="G16" s="8" t="s">
        <v>31</v>
      </c>
      <c r="H16" s="10" t="s">
        <v>14</v>
      </c>
      <c r="I16" s="10" t="s">
        <v>14</v>
      </c>
      <c r="J16" s="40"/>
      <c r="L16" s="32"/>
      <c r="M16" s="11" t="s">
        <v>36</v>
      </c>
      <c r="N16" s="22" t="s">
        <v>37</v>
      </c>
    </row>
    <row r="17" spans="1:14" ht="15.75">
      <c r="A17" s="37"/>
      <c r="B17" s="7" t="s">
        <v>38</v>
      </c>
      <c r="C17" s="8"/>
      <c r="D17" s="8"/>
      <c r="E17" s="9"/>
      <c r="F17" s="9"/>
      <c r="G17" s="8"/>
      <c r="H17" s="10" t="s">
        <v>14</v>
      </c>
      <c r="I17" s="10" t="s">
        <v>14</v>
      </c>
      <c r="J17" s="40"/>
      <c r="L17" s="33"/>
      <c r="M17" s="11" t="s">
        <v>39</v>
      </c>
      <c r="N17" s="6" t="s">
        <v>14</v>
      </c>
    </row>
    <row r="18" spans="1:14" ht="15.75">
      <c r="A18" s="37"/>
      <c r="B18" s="7" t="s">
        <v>40</v>
      </c>
      <c r="C18" s="8"/>
      <c r="D18" s="8"/>
      <c r="E18" s="9"/>
      <c r="F18" s="9"/>
      <c r="G18" s="8"/>
      <c r="H18" s="10" t="s">
        <v>14</v>
      </c>
      <c r="I18" s="10" t="s">
        <v>14</v>
      </c>
      <c r="J18" s="40"/>
      <c r="L18" s="31" t="s">
        <v>41</v>
      </c>
      <c r="M18" s="5" t="s">
        <v>42</v>
      </c>
      <c r="N18" s="6" t="s">
        <v>43</v>
      </c>
    </row>
    <row r="19" spans="1:14" ht="15.75">
      <c r="A19" s="37"/>
      <c r="B19" s="7" t="s">
        <v>44</v>
      </c>
      <c r="C19" s="8"/>
      <c r="D19" s="8"/>
      <c r="E19" s="9"/>
      <c r="F19" s="9"/>
      <c r="G19" s="8"/>
      <c r="H19" s="10" t="s">
        <v>14</v>
      </c>
      <c r="I19" s="10" t="s">
        <v>14</v>
      </c>
      <c r="J19" s="40"/>
      <c r="L19" s="32"/>
      <c r="M19" s="5" t="s">
        <v>45</v>
      </c>
      <c r="N19" s="6" t="s">
        <v>46</v>
      </c>
    </row>
    <row r="20" spans="1:14" ht="15.75">
      <c r="A20" s="37"/>
      <c r="B20" s="7" t="s">
        <v>47</v>
      </c>
      <c r="C20" s="8"/>
      <c r="D20" s="8"/>
      <c r="E20" s="9"/>
      <c r="F20" s="9"/>
      <c r="G20" s="8"/>
      <c r="H20" s="10" t="s">
        <v>14</v>
      </c>
      <c r="I20" s="10" t="s">
        <v>14</v>
      </c>
      <c r="J20" s="40"/>
      <c r="L20" s="32"/>
      <c r="M20" s="5" t="s">
        <v>48</v>
      </c>
      <c r="N20" s="6" t="s">
        <v>49</v>
      </c>
    </row>
    <row r="21" spans="1:14" ht="15.75">
      <c r="A21" s="37"/>
      <c r="B21" s="7" t="s">
        <v>50</v>
      </c>
      <c r="C21" s="8"/>
      <c r="D21" s="8"/>
      <c r="E21" s="9"/>
      <c r="F21" s="9"/>
      <c r="G21" s="8"/>
      <c r="H21" s="10" t="s">
        <v>14</v>
      </c>
      <c r="I21" s="10" t="s">
        <v>14</v>
      </c>
      <c r="J21" s="40"/>
      <c r="L21" s="32"/>
      <c r="M21" s="5" t="s">
        <v>51</v>
      </c>
      <c r="N21" s="6" t="s">
        <v>52</v>
      </c>
    </row>
    <row r="22" spans="1:14" ht="15.75">
      <c r="A22" s="38"/>
      <c r="B22" s="7" t="s">
        <v>53</v>
      </c>
      <c r="C22" s="8"/>
      <c r="D22" s="8"/>
      <c r="E22" s="9"/>
      <c r="F22" s="9"/>
      <c r="G22" s="8"/>
      <c r="H22" s="10" t="s">
        <v>14</v>
      </c>
      <c r="I22" s="10" t="s">
        <v>14</v>
      </c>
      <c r="J22" s="41"/>
      <c r="L22" s="32"/>
      <c r="M22" s="11" t="s">
        <v>54</v>
      </c>
      <c r="N22" s="22" t="s">
        <v>55</v>
      </c>
    </row>
    <row r="23" spans="1:14" s="15" customFormat="1" ht="15.75">
      <c r="A23" s="23"/>
      <c r="B23" s="13" t="s">
        <v>56</v>
      </c>
      <c r="C23" s="14">
        <f>COUNTIF(C9:C22, "A I*")+COUNTIF(C9:C22, "B")+COUNTIF(C9:C22, "C")+COUNTIF(C9:C22, "D*")</f>
        <v>8</v>
      </c>
      <c r="D23" s="14">
        <f t="shared" ref="D23:I23" si="1">COUNTIF(D9:D22, "A I*")+COUNTIF(D9:D22, "B")+COUNTIF(D9:D22, "C")+COUNTIF(D9:D22, "D*")</f>
        <v>8</v>
      </c>
      <c r="E23" s="14">
        <f t="shared" si="1"/>
        <v>8</v>
      </c>
      <c r="F23" s="14">
        <f t="shared" si="1"/>
        <v>8</v>
      </c>
      <c r="G23" s="14">
        <f t="shared" si="1"/>
        <v>8</v>
      </c>
      <c r="H23" s="14">
        <f t="shared" si="1"/>
        <v>0</v>
      </c>
      <c r="I23" s="14">
        <f t="shared" si="1"/>
        <v>0</v>
      </c>
      <c r="J23" s="14">
        <f>SUM(C23:I23)</f>
        <v>40</v>
      </c>
      <c r="K23" s="52"/>
      <c r="L23" s="33"/>
      <c r="M23" s="11" t="s">
        <v>57</v>
      </c>
      <c r="N23" s="6" t="s">
        <v>58</v>
      </c>
    </row>
    <row r="24" spans="1:14">
      <c r="B24" s="16"/>
    </row>
    <row r="25" spans="1:14">
      <c r="B25" s="16"/>
    </row>
    <row r="26" spans="1:14">
      <c r="B26" s="16"/>
    </row>
    <row r="27" spans="1:14">
      <c r="B27" s="16"/>
    </row>
    <row r="28" spans="1:14">
      <c r="B28" s="16"/>
    </row>
    <row r="29" spans="1:14">
      <c r="B29" s="16"/>
    </row>
    <row r="30" spans="1:14">
      <c r="B30" s="16"/>
    </row>
    <row r="31" spans="1:14">
      <c r="B31" s="16"/>
    </row>
    <row r="32" spans="1:14">
      <c r="B32" s="16"/>
    </row>
    <row r="33" spans="2:2">
      <c r="B33" s="16"/>
    </row>
  </sheetData>
  <sheetProtection sheet="1" objects="1" scenarios="1"/>
  <mergeCells count="11">
    <mergeCell ref="A4:J4"/>
    <mergeCell ref="A5:J5"/>
    <mergeCell ref="A7:A8"/>
    <mergeCell ref="B7:B8"/>
    <mergeCell ref="C7:I7"/>
    <mergeCell ref="J7:J8"/>
    <mergeCell ref="L7:N7"/>
    <mergeCell ref="A9:A22"/>
    <mergeCell ref="J9:J22"/>
    <mergeCell ref="L8:L17"/>
    <mergeCell ref="L18:L23"/>
  </mergeCells>
  <phoneticPr fontId="13" type="noConversion"/>
  <dataValidations count="1">
    <dataValidation type="list" allowBlank="1" showInputMessage="1" showErrorMessage="1" sqref="C9:I22" xr:uid="{32E48764-0009-41F6-8D0D-750B45EB4519}">
      <formula1>activități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B13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60DF-7F01-4B56-90A3-FDE65F54B4C7}">
  <sheetPr>
    <pageSetUpPr fitToPage="1"/>
  </sheetPr>
  <dimension ref="A1:AH31"/>
  <sheetViews>
    <sheetView workbookViewId="0">
      <selection activeCell="A9" sqref="A9:A20"/>
    </sheetView>
  </sheetViews>
  <sheetFormatPr defaultRowHeight="15"/>
  <cols>
    <col min="1" max="1" width="25.7109375" style="1" customWidth="1"/>
    <col min="2" max="2" width="9.140625" style="1"/>
    <col min="3" max="3" width="8.5703125" style="1" bestFit="1" customWidth="1"/>
    <col min="4" max="9" width="9.28515625" style="1" bestFit="1" customWidth="1"/>
    <col min="10" max="10" width="15.7109375" style="1" customWidth="1"/>
    <col min="11" max="11" width="11.7109375" style="1" customWidth="1"/>
    <col min="12" max="12" width="15.7109375" style="1" customWidth="1"/>
    <col min="13" max="13" width="26.7109375" style="1" bestFit="1" customWidth="1"/>
    <col min="14" max="16384" width="9.140625" style="1"/>
  </cols>
  <sheetData>
    <row r="1" spans="1:34">
      <c r="A1" s="17" t="str">
        <f>upt</f>
        <v>Universitatea Politehnica Timișoara</v>
      </c>
    </row>
    <row r="2" spans="1:34">
      <c r="A2" s="17" t="str">
        <f>dep</f>
        <v>Departamentul Calculatoare si Tehnologia Informatiei</v>
      </c>
    </row>
    <row r="4" spans="1:34" ht="33" customHeight="1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</row>
    <row r="5" spans="1:34" ht="15.75">
      <c r="A5" s="43">
        <f>primazi</f>
        <v>46139</v>
      </c>
      <c r="B5" s="43"/>
      <c r="C5" s="43"/>
      <c r="D5" s="43"/>
      <c r="E5" s="43"/>
      <c r="F5" s="43"/>
      <c r="G5" s="43"/>
      <c r="H5" s="43"/>
      <c r="I5" s="43"/>
      <c r="J5" s="43"/>
    </row>
    <row r="6" spans="1:34" ht="15.75">
      <c r="A6" s="2"/>
      <c r="B6" s="2"/>
      <c r="C6" s="2"/>
      <c r="D6" s="2"/>
      <c r="E6" s="2"/>
      <c r="F6" s="2"/>
      <c r="G6" s="2"/>
      <c r="H6" s="2"/>
      <c r="I6" s="2"/>
      <c r="J6" s="2"/>
    </row>
    <row r="7" spans="1:34" s="3" customFormat="1" ht="15" customHeight="1">
      <c r="A7" s="44" t="s">
        <v>4</v>
      </c>
      <c r="B7" s="44" t="s">
        <v>5</v>
      </c>
      <c r="C7" s="44" t="s">
        <v>6</v>
      </c>
      <c r="D7" s="44"/>
      <c r="E7" s="44"/>
      <c r="F7" s="44"/>
      <c r="G7" s="44"/>
      <c r="H7" s="44"/>
      <c r="I7" s="44"/>
      <c r="J7" s="44" t="s">
        <v>7</v>
      </c>
      <c r="K7" s="47"/>
      <c r="L7" s="48" t="s">
        <v>8</v>
      </c>
      <c r="M7" s="48"/>
      <c r="N7" s="48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spans="1:34" s="3" customFormat="1" ht="15.75">
      <c r="A8" s="44"/>
      <c r="B8" s="44"/>
      <c r="C8" s="4">
        <f>primazi+7*5</f>
        <v>46174</v>
      </c>
      <c r="D8" s="4">
        <f t="shared" ref="D8:I8" si="0">C8+1</f>
        <v>46175</v>
      </c>
      <c r="E8" s="4">
        <f t="shared" si="0"/>
        <v>46176</v>
      </c>
      <c r="F8" s="4">
        <f t="shared" si="0"/>
        <v>46177</v>
      </c>
      <c r="G8" s="4">
        <f t="shared" si="0"/>
        <v>46178</v>
      </c>
      <c r="H8" s="4">
        <f t="shared" si="0"/>
        <v>46179</v>
      </c>
      <c r="I8" s="4">
        <f t="shared" si="0"/>
        <v>46180</v>
      </c>
      <c r="J8" s="44"/>
      <c r="K8" s="49"/>
      <c r="L8" s="31" t="s">
        <v>9</v>
      </c>
      <c r="M8" s="5" t="s">
        <v>10</v>
      </c>
      <c r="N8" s="6" t="s">
        <v>11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 ht="15.75">
      <c r="A9" s="36" t="str">
        <f>titular</f>
        <v>Ancusa Versavia</v>
      </c>
      <c r="B9" s="7" t="s">
        <v>13</v>
      </c>
      <c r="C9" s="8" t="s">
        <v>19</v>
      </c>
      <c r="D9" s="8"/>
      <c r="E9" s="9"/>
      <c r="F9" s="9"/>
      <c r="G9" s="9" t="s">
        <v>43</v>
      </c>
      <c r="H9" s="10" t="s">
        <v>14</v>
      </c>
      <c r="I9" s="10" t="s">
        <v>14</v>
      </c>
      <c r="J9" s="39"/>
      <c r="L9" s="32"/>
      <c r="M9" s="5" t="s">
        <v>15</v>
      </c>
      <c r="N9" s="6" t="s">
        <v>16</v>
      </c>
    </row>
    <row r="10" spans="1:34" ht="15.75">
      <c r="A10" s="45"/>
      <c r="B10" s="7" t="s">
        <v>17</v>
      </c>
      <c r="C10" s="8" t="s">
        <v>19</v>
      </c>
      <c r="D10" s="8"/>
      <c r="E10" s="9"/>
      <c r="F10" s="9"/>
      <c r="G10" s="9" t="s">
        <v>43</v>
      </c>
      <c r="H10" s="10" t="s">
        <v>14</v>
      </c>
      <c r="I10" s="10" t="s">
        <v>14</v>
      </c>
      <c r="J10" s="40"/>
      <c r="L10" s="32"/>
      <c r="M10" s="5" t="s">
        <v>18</v>
      </c>
      <c r="N10" s="6" t="s">
        <v>19</v>
      </c>
    </row>
    <row r="11" spans="1:34" ht="15.75">
      <c r="A11" s="45"/>
      <c r="B11" s="7" t="s">
        <v>20</v>
      </c>
      <c r="C11" s="8" t="s">
        <v>19</v>
      </c>
      <c r="D11" s="8"/>
      <c r="E11" s="9"/>
      <c r="F11" s="9"/>
      <c r="G11" s="9" t="s">
        <v>43</v>
      </c>
      <c r="H11" s="10" t="s">
        <v>14</v>
      </c>
      <c r="I11" s="10" t="s">
        <v>14</v>
      </c>
      <c r="J11" s="40"/>
      <c r="L11" s="32"/>
      <c r="M11" s="5" t="s">
        <v>21</v>
      </c>
      <c r="N11" s="6" t="s">
        <v>22</v>
      </c>
    </row>
    <row r="12" spans="1:34" ht="15.75">
      <c r="A12" s="45"/>
      <c r="B12" s="7" t="s">
        <v>23</v>
      </c>
      <c r="C12" s="8"/>
      <c r="D12" s="8"/>
      <c r="E12" s="9"/>
      <c r="F12" s="9"/>
      <c r="G12" s="9" t="s">
        <v>43</v>
      </c>
      <c r="H12" s="10" t="s">
        <v>14</v>
      </c>
      <c r="I12" s="10" t="s">
        <v>14</v>
      </c>
      <c r="J12" s="40"/>
      <c r="L12" s="32"/>
      <c r="M12" s="11" t="s">
        <v>24</v>
      </c>
      <c r="N12" s="22" t="s">
        <v>25</v>
      </c>
    </row>
    <row r="13" spans="1:34" ht="15.75">
      <c r="A13" s="45"/>
      <c r="B13" s="7" t="s">
        <v>26</v>
      </c>
      <c r="C13" s="8"/>
      <c r="D13" s="8"/>
      <c r="E13" s="9"/>
      <c r="F13" s="9" t="s">
        <v>11</v>
      </c>
      <c r="G13" s="9" t="s">
        <v>43</v>
      </c>
      <c r="H13" s="10" t="s">
        <v>14</v>
      </c>
      <c r="I13" s="10" t="s">
        <v>14</v>
      </c>
      <c r="J13" s="40"/>
      <c r="L13" s="32"/>
      <c r="M13" s="11" t="s">
        <v>27</v>
      </c>
      <c r="N13" s="6" t="s">
        <v>28</v>
      </c>
    </row>
    <row r="14" spans="1:34" ht="15.75">
      <c r="A14" s="45"/>
      <c r="B14" s="7" t="s">
        <v>29</v>
      </c>
      <c r="C14" s="8"/>
      <c r="D14" s="8" t="s">
        <v>28</v>
      </c>
      <c r="E14" s="9"/>
      <c r="F14" s="9" t="s">
        <v>16</v>
      </c>
      <c r="G14" s="9" t="s">
        <v>43</v>
      </c>
      <c r="H14" s="10" t="s">
        <v>14</v>
      </c>
      <c r="I14" s="10" t="s">
        <v>14</v>
      </c>
      <c r="J14" s="40"/>
      <c r="L14" s="32"/>
      <c r="M14" s="11" t="s">
        <v>30</v>
      </c>
      <c r="N14" s="6" t="s">
        <v>31</v>
      </c>
    </row>
    <row r="15" spans="1:34" ht="15.75">
      <c r="A15" s="45"/>
      <c r="B15" s="7" t="s">
        <v>32</v>
      </c>
      <c r="C15" s="8" t="s">
        <v>22</v>
      </c>
      <c r="D15" s="8" t="s">
        <v>28</v>
      </c>
      <c r="E15" s="9"/>
      <c r="F15" s="9"/>
      <c r="G15" s="9" t="s">
        <v>43</v>
      </c>
      <c r="H15" s="10" t="s">
        <v>14</v>
      </c>
      <c r="I15" s="10" t="s">
        <v>14</v>
      </c>
      <c r="J15" s="40"/>
      <c r="L15" s="33"/>
      <c r="M15" s="11" t="s">
        <v>39</v>
      </c>
      <c r="N15" s="6" t="s">
        <v>14</v>
      </c>
    </row>
    <row r="16" spans="1:34" ht="15.75">
      <c r="A16" s="45"/>
      <c r="B16" s="7" t="s">
        <v>35</v>
      </c>
      <c r="C16" s="8" t="s">
        <v>22</v>
      </c>
      <c r="D16" s="8" t="s">
        <v>28</v>
      </c>
      <c r="E16" s="9" t="s">
        <v>31</v>
      </c>
      <c r="F16" s="9"/>
      <c r="G16" s="9" t="s">
        <v>43</v>
      </c>
      <c r="H16" s="10" t="s">
        <v>14</v>
      </c>
      <c r="I16" s="10" t="s">
        <v>14</v>
      </c>
      <c r="J16" s="40"/>
      <c r="L16" s="31" t="s">
        <v>41</v>
      </c>
      <c r="M16" s="5" t="s">
        <v>42</v>
      </c>
      <c r="N16" s="6" t="s">
        <v>43</v>
      </c>
    </row>
    <row r="17" spans="1:14" ht="15.75">
      <c r="A17" s="45"/>
      <c r="B17" s="7" t="s">
        <v>38</v>
      </c>
      <c r="C17" s="8" t="s">
        <v>22</v>
      </c>
      <c r="D17" s="8" t="s">
        <v>28</v>
      </c>
      <c r="E17" s="9"/>
      <c r="F17" s="9"/>
      <c r="G17" s="9" t="s">
        <v>43</v>
      </c>
      <c r="H17" s="10" t="s">
        <v>14</v>
      </c>
      <c r="I17" s="10" t="s">
        <v>14</v>
      </c>
      <c r="J17" s="40"/>
      <c r="L17" s="32"/>
      <c r="M17" s="5" t="s">
        <v>45</v>
      </c>
      <c r="N17" s="6" t="s">
        <v>46</v>
      </c>
    </row>
    <row r="18" spans="1:14" ht="15.75">
      <c r="A18" s="45"/>
      <c r="B18" s="7" t="s">
        <v>40</v>
      </c>
      <c r="C18" s="8"/>
      <c r="D18" s="8"/>
      <c r="E18" s="9"/>
      <c r="F18" s="9"/>
      <c r="G18" s="9" t="s">
        <v>43</v>
      </c>
      <c r="H18" s="10" t="s">
        <v>14</v>
      </c>
      <c r="I18" s="10" t="s">
        <v>14</v>
      </c>
      <c r="J18" s="40"/>
      <c r="L18" s="32"/>
      <c r="M18" s="5" t="s">
        <v>48</v>
      </c>
      <c r="N18" s="6" t="s">
        <v>49</v>
      </c>
    </row>
    <row r="19" spans="1:14" ht="15.75">
      <c r="A19" s="45"/>
      <c r="B19" s="7" t="s">
        <v>44</v>
      </c>
      <c r="C19" s="8"/>
      <c r="D19" s="8"/>
      <c r="E19" s="9"/>
      <c r="F19" s="9"/>
      <c r="G19" s="9" t="s">
        <v>43</v>
      </c>
      <c r="H19" s="10" t="s">
        <v>14</v>
      </c>
      <c r="I19" s="10" t="s">
        <v>14</v>
      </c>
      <c r="J19" s="40"/>
      <c r="L19" s="32"/>
      <c r="M19" s="5" t="s">
        <v>51</v>
      </c>
      <c r="N19" s="6" t="s">
        <v>52</v>
      </c>
    </row>
    <row r="20" spans="1:14" ht="15.75">
      <c r="A20" s="46"/>
      <c r="B20" s="7" t="s">
        <v>47</v>
      </c>
      <c r="C20" s="8"/>
      <c r="D20" s="8"/>
      <c r="E20" s="9"/>
      <c r="F20" s="9"/>
      <c r="G20" s="9" t="s">
        <v>43</v>
      </c>
      <c r="H20" s="10" t="s">
        <v>14</v>
      </c>
      <c r="I20" s="10" t="s">
        <v>14</v>
      </c>
      <c r="J20" s="41"/>
      <c r="L20" s="32"/>
      <c r="M20" s="11" t="s">
        <v>54</v>
      </c>
      <c r="N20" s="22" t="s">
        <v>55</v>
      </c>
    </row>
    <row r="21" spans="1:14" s="15" customFormat="1" ht="15.75">
      <c r="A21" s="12"/>
      <c r="B21" s="13" t="s">
        <v>56</v>
      </c>
      <c r="C21" s="14">
        <f t="shared" ref="C21:I21" si="1">COUNTIF(C9:C20, "A I*")+COUNTIF(C9:C20, "B")+COUNTIF(C9:C20, "C")</f>
        <v>6</v>
      </c>
      <c r="D21" s="14">
        <f t="shared" si="1"/>
        <v>4</v>
      </c>
      <c r="E21" s="14">
        <f t="shared" si="1"/>
        <v>1</v>
      </c>
      <c r="F21" s="14">
        <f t="shared" si="1"/>
        <v>2</v>
      </c>
      <c r="G21" s="14">
        <f t="shared" si="1"/>
        <v>0</v>
      </c>
      <c r="H21" s="14">
        <f t="shared" si="1"/>
        <v>0</v>
      </c>
      <c r="I21" s="14">
        <f t="shared" si="1"/>
        <v>0</v>
      </c>
      <c r="J21" s="14">
        <f>SUM(C21:I21)</f>
        <v>13</v>
      </c>
      <c r="K21" s="52"/>
      <c r="L21" s="33"/>
      <c r="M21" s="11" t="s">
        <v>57</v>
      </c>
      <c r="N21" s="6" t="s">
        <v>58</v>
      </c>
    </row>
    <row r="22" spans="1:14">
      <c r="B22" s="16"/>
    </row>
    <row r="23" spans="1:14">
      <c r="B23" s="16"/>
    </row>
    <row r="24" spans="1:14">
      <c r="B24" s="16"/>
    </row>
    <row r="25" spans="1:14">
      <c r="B25" s="16"/>
    </row>
    <row r="26" spans="1:14">
      <c r="B26" s="16"/>
    </row>
    <row r="27" spans="1:14">
      <c r="B27" s="16"/>
    </row>
    <row r="28" spans="1:14">
      <c r="B28" s="16"/>
    </row>
    <row r="29" spans="1:14">
      <c r="B29" s="16"/>
    </row>
    <row r="30" spans="1:14">
      <c r="B30" s="16"/>
    </row>
    <row r="31" spans="1:14">
      <c r="B31" s="16"/>
    </row>
  </sheetData>
  <mergeCells count="11">
    <mergeCell ref="A4:J4"/>
    <mergeCell ref="A5:J5"/>
    <mergeCell ref="A7:A8"/>
    <mergeCell ref="B7:B8"/>
    <mergeCell ref="C7:I7"/>
    <mergeCell ref="J7:J8"/>
    <mergeCell ref="L7:N7"/>
    <mergeCell ref="L8:L15"/>
    <mergeCell ref="A9:A20"/>
    <mergeCell ref="J9:J20"/>
    <mergeCell ref="L16:L21"/>
  </mergeCells>
  <phoneticPr fontId="13" type="noConversion"/>
  <dataValidations count="1">
    <dataValidation type="list" allowBlank="1" showInputMessage="1" showErrorMessage="1" sqref="C9:I20" xr:uid="{A2C27932-BCDE-43A2-8C34-180EE2CE7787}">
      <formula1>activități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B1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X</cp:lastModifiedBy>
  <cp:revision/>
  <dcterms:created xsi:type="dcterms:W3CDTF">2017-09-27T08:10:47Z</dcterms:created>
  <dcterms:modified xsi:type="dcterms:W3CDTF">2026-06-11T20:47:50Z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